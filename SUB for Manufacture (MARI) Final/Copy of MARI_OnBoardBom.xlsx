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New  Upgrades" sheetId="2" r:id="rId5"/>
  </sheets>
  <definedNames/>
  <calcPr/>
  <extLst>
    <ext uri="GoogleSheetsCustomDataVersion2">
      <go:sheetsCustomData xmlns:go="http://customooxmlschemas.google.com/" r:id="rId6" roundtripDataChecksum="qp1DK30OJp1c5iUn0C3ShXJPvbbyS/YT8dXTtvmePSc="/>
    </ext>
  </extLst>
</workbook>
</file>

<file path=xl/sharedStrings.xml><?xml version="1.0" encoding="utf-8"?>
<sst xmlns="http://schemas.openxmlformats.org/spreadsheetml/2006/main" count="309" uniqueCount="176">
  <si>
    <t>Item #</t>
  </si>
  <si>
    <t>*Ref Des</t>
  </si>
  <si>
    <t>*Qty</t>
  </si>
  <si>
    <t>Manufacturer</t>
  </si>
  <si>
    <t>*Mfg Part #</t>
  </si>
  <si>
    <t>Description / Value</t>
  </si>
  <si>
    <t>*Package</t>
  </si>
  <si>
    <t>Type</t>
  </si>
  <si>
    <t>Your Instructions / Notes</t>
  </si>
  <si>
    <t>Unit Cost</t>
  </si>
  <si>
    <t>Total Cost</t>
  </si>
  <si>
    <t>Website</t>
  </si>
  <si>
    <t>BMP390</t>
  </si>
  <si>
    <t>Bosch Sensortech</t>
  </si>
  <si>
    <t>BMP390 Barometer</t>
  </si>
  <si>
    <t>10-LGA</t>
  </si>
  <si>
    <t xml:space="preserve">Surface Mount </t>
  </si>
  <si>
    <t xml:space="preserve">link </t>
  </si>
  <si>
    <t>BOOT</t>
  </si>
  <si>
    <t>Nidec Components Corporation</t>
  </si>
  <si>
    <t>CL-SB-12B-01T</t>
  </si>
  <si>
    <t>SPDT Switches (Slide Switch)</t>
  </si>
  <si>
    <t>NA</t>
  </si>
  <si>
    <t>Surface Mount</t>
  </si>
  <si>
    <t>link</t>
  </si>
  <si>
    <t>C1,C2</t>
  </si>
  <si>
    <t>Kemet</t>
  </si>
  <si>
    <t xml:space="preserve">C0402C150J8HACTU </t>
  </si>
  <si>
    <r>
      <rPr>
        <rFont val="Arial"/>
        <color rgb="FF000000"/>
        <sz val="10.0"/>
      </rPr>
      <t xml:space="preserve">Capacitor </t>
    </r>
    <r>
      <rPr>
        <rFont val="Calibri"/>
        <color rgb="FF000000"/>
        <sz val="11.0"/>
      </rPr>
      <t>15pF</t>
    </r>
  </si>
  <si>
    <t>C2A,C2B</t>
  </si>
  <si>
    <t>Samsung Electromechanics</t>
  </si>
  <si>
    <t xml:space="preserve">CL05A226MQ5N6J8 </t>
  </si>
  <si>
    <r>
      <rPr>
        <rFont val="Arial"/>
        <color rgb="FF000000"/>
        <sz val="10.0"/>
      </rPr>
      <t xml:space="preserve">Capacitor </t>
    </r>
    <r>
      <rPr>
        <rFont val="Calibri"/>
        <color rgb="FF000000"/>
        <sz val="11.0"/>
      </rPr>
      <t>22 µF</t>
    </r>
  </si>
  <si>
    <t>C3,C21,C22,C26,C27,C28,C29,C30,C31,C34,C37,C38,C39</t>
  </si>
  <si>
    <t>CL05A104KA5NNNC</t>
  </si>
  <si>
    <t>Capacitor 100nF</t>
  </si>
  <si>
    <t>C4,C5</t>
  </si>
  <si>
    <t xml:space="preserve">CL05A225KP5NSNC </t>
  </si>
  <si>
    <r>
      <rPr>
        <rFont val="Arial"/>
        <color rgb="FF000000"/>
        <sz val="10.0"/>
      </rPr>
      <t xml:space="preserve">Capacitor </t>
    </r>
    <r>
      <rPr>
        <rFont val="Calibri"/>
        <color rgb="FF000000"/>
        <sz val="11.0"/>
      </rPr>
      <t>2.2uF</t>
    </r>
  </si>
  <si>
    <t>C23,C25,C35,C36,C40</t>
  </si>
  <si>
    <t>CL05A105KP5NNNC</t>
  </si>
  <si>
    <r>
      <rPr>
        <rFont val="Arial"/>
        <color rgb="FF000000"/>
        <sz val="10.0"/>
      </rPr>
      <t xml:space="preserve">Capacitor </t>
    </r>
    <r>
      <rPr>
        <rFont val="Calibri"/>
        <color rgb="FF000000"/>
        <sz val="11.0"/>
      </rPr>
      <t>1uF</t>
    </r>
  </si>
  <si>
    <t>C24</t>
  </si>
  <si>
    <t>Murata Electronics</t>
  </si>
  <si>
    <t xml:space="preserve">GRM155R61A124KE19D </t>
  </si>
  <si>
    <r>
      <rPr>
        <rFont val="Arial"/>
        <color rgb="FF000000"/>
        <sz val="10.0"/>
      </rPr>
      <t xml:space="preserve">Capacitor </t>
    </r>
    <r>
      <rPr>
        <rFont val="Calibri"/>
        <color rgb="FF000000"/>
        <sz val="11.0"/>
      </rPr>
      <t>120 nF</t>
    </r>
  </si>
  <si>
    <t>C32</t>
  </si>
  <si>
    <t xml:space="preserve">GRM21BC81D106KE51L </t>
  </si>
  <si>
    <r>
      <rPr>
        <rFont val="Arial"/>
        <color rgb="FF000000"/>
        <sz val="10.0"/>
      </rPr>
      <t xml:space="preserve">Capacitor </t>
    </r>
    <r>
      <rPr>
        <rFont val="Calibri"/>
        <color rgb="FF000000"/>
        <sz val="11.0"/>
      </rPr>
      <t>10 uF</t>
    </r>
  </si>
  <si>
    <t>C33</t>
  </si>
  <si>
    <t>Wurth Electronik</t>
  </si>
  <si>
    <r>
      <rPr>
        <rFont val="Arial"/>
        <color rgb="FF000000"/>
        <sz val="10.0"/>
      </rPr>
      <t xml:space="preserve">Capacitor </t>
    </r>
    <r>
      <rPr>
        <rFont val="Calibri"/>
        <color rgb="FF000000"/>
        <sz val="11.0"/>
      </rPr>
      <t>100 pF</t>
    </r>
  </si>
  <si>
    <t>CRYSTAL</t>
  </si>
  <si>
    <t>NDK (NIHON DEMPA KOGYO CO., LTD)</t>
  </si>
  <si>
    <t xml:space="preserve">STDCRG1-16M </t>
  </si>
  <si>
    <t>Crystal 16 MHz</t>
  </si>
  <si>
    <t xml:space="preserve"> No Lead</t>
  </si>
  <si>
    <t>D1</t>
  </si>
  <si>
    <t xml:space="preserve">150040GS73220 </t>
  </si>
  <si>
    <t>LED Green</t>
  </si>
  <si>
    <t>D2</t>
  </si>
  <si>
    <t>onsemi</t>
  </si>
  <si>
    <t>MBR0520LT1G</t>
  </si>
  <si>
    <t>Schottky Diode</t>
  </si>
  <si>
    <t>SOD-123</t>
  </si>
  <si>
    <t>GND,INT,NRST,SCL0,SCL1,SDA0,SDA1,TP1,TP2,TP3,V3P3</t>
  </si>
  <si>
    <t>Test pad</t>
  </si>
  <si>
    <t>Exposed Copper</t>
  </si>
  <si>
    <t>JP1,JP2</t>
  </si>
  <si>
    <t>Amphenol ICC</t>
  </si>
  <si>
    <t xml:space="preserve">10129381-916001BLF </t>
  </si>
  <si>
    <t>PINHD-2X8</t>
  </si>
  <si>
    <t>Through hole</t>
  </si>
  <si>
    <t>JP3</t>
  </si>
  <si>
    <t>10129381-914004BLF</t>
  </si>
  <si>
    <t>PINHD-2X7</t>
  </si>
  <si>
    <t>JP4,JP5</t>
  </si>
  <si>
    <t xml:space="preserve">67997-210HLF </t>
  </si>
  <si>
    <t>PINHD-2X5</t>
  </si>
  <si>
    <t>JTAG</t>
  </si>
  <si>
    <t>10129381-920001BLF</t>
  </si>
  <si>
    <t>PINHD-2X10</t>
  </si>
  <si>
    <t>LORA</t>
  </si>
  <si>
    <t xml:space="preserve">75915-305LF </t>
  </si>
  <si>
    <t>FEMALE-HEADER-1X5</t>
  </si>
  <si>
    <r>
      <rPr>
        <rFont val="Calibri"/>
        <color rgb="FF000000"/>
        <sz val="11.0"/>
      </rPr>
      <t>PWM-IN,</t>
    </r>
    <r>
      <rPr>
        <rFont val="Calibri"/>
        <color rgb="FF000000"/>
        <sz val="11.0"/>
      </rPr>
      <t>PWM-OUT</t>
    </r>
  </si>
  <si>
    <t xml:space="preserve">10129378-908001BLF </t>
  </si>
  <si>
    <t>PINHD-1X08</t>
  </si>
  <si>
    <t>L1</t>
  </si>
  <si>
    <t>Bourns Inc.</t>
  </si>
  <si>
    <t>CWF1610-3R3K</t>
  </si>
  <si>
    <r>
      <rPr>
        <rFont val="Arial"/>
        <color rgb="FF000000"/>
        <sz val="10.0"/>
      </rPr>
      <t xml:space="preserve">Inductor </t>
    </r>
    <r>
      <rPr>
        <rFont val="Calibri"/>
        <color rgb="FF000000"/>
        <sz val="11.0"/>
      </rPr>
      <t>3.3 µH</t>
    </r>
  </si>
  <si>
    <t>R1,R2,R3,R4,R6,R10,R12</t>
  </si>
  <si>
    <t xml:space="preserve">RC1005F103CS </t>
  </si>
  <si>
    <t>Resistors 10k</t>
  </si>
  <si>
    <t>R5,R13</t>
  </si>
  <si>
    <t>Panasonic Electronic Components</t>
  </si>
  <si>
    <t xml:space="preserve">ERA-2AEB4022X </t>
  </si>
  <si>
    <t>Resistors 40.2k</t>
  </si>
  <si>
    <t>R7,R8,R15</t>
  </si>
  <si>
    <t>YAGEO</t>
  </si>
  <si>
    <t xml:space="preserve">RC0402JR-074K7L </t>
  </si>
  <si>
    <r>
      <rPr>
        <rFont val="Calibri"/>
        <color rgb="FF000000"/>
        <sz val="11.0"/>
      </rPr>
      <t xml:space="preserve">Resistors </t>
    </r>
    <r>
      <rPr>
        <rFont val="Arial"/>
        <color rgb="FF000000"/>
        <sz val="10.0"/>
      </rPr>
      <t>4.7K</t>
    </r>
  </si>
  <si>
    <t>R9</t>
  </si>
  <si>
    <t xml:space="preserve">ERJ-2RKF1001X </t>
  </si>
  <si>
    <r>
      <rPr>
        <rFont val="Calibri"/>
        <color rgb="FF000000"/>
        <sz val="11.0"/>
      </rPr>
      <t>Resistors 1</t>
    </r>
    <r>
      <rPr>
        <rFont val="Arial"/>
        <color rgb="FF000000"/>
        <sz val="10.0"/>
      </rPr>
      <t>K</t>
    </r>
  </si>
  <si>
    <t>R11</t>
  </si>
  <si>
    <t>ERJ-2RKF5622X</t>
  </si>
  <si>
    <r>
      <rPr>
        <rFont val="Calibri"/>
        <color rgb="FF000000"/>
        <sz val="11.0"/>
      </rPr>
      <t xml:space="preserve">Resistors </t>
    </r>
    <r>
      <rPr>
        <rFont val="Arial"/>
        <color rgb="FF000000"/>
        <sz val="10.0"/>
      </rPr>
      <t>56.2k</t>
    </r>
  </si>
  <si>
    <t>R14</t>
  </si>
  <si>
    <t>RC0402JR-0747KL</t>
  </si>
  <si>
    <t>Resistors 47k</t>
  </si>
  <si>
    <t>RF-RECIEVER,U$14</t>
  </si>
  <si>
    <t>68000-102HLF</t>
  </si>
  <si>
    <t>PINHD-1X02</t>
  </si>
  <si>
    <t>RST</t>
  </si>
  <si>
    <t>C&amp;K</t>
  </si>
  <si>
    <t xml:space="preserve">Y78B22120FP </t>
  </si>
  <si>
    <t>SPST Switches with NO Configuration</t>
  </si>
  <si>
    <t>U$1</t>
  </si>
  <si>
    <t>10129378-904001BLF</t>
  </si>
  <si>
    <t>PINHD-1X04</t>
  </si>
  <si>
    <r>
      <rPr>
        <rFont val="Calibri"/>
        <color rgb="FF000000"/>
        <sz val="11.0"/>
      </rPr>
      <t>U$2,</t>
    </r>
    <r>
      <rPr>
        <rFont val="Calibri"/>
        <color rgb="FF000000"/>
        <sz val="11.0"/>
      </rPr>
      <t>U$4,U$6,U$8,U$10</t>
    </r>
  </si>
  <si>
    <t>Gold-Plated 4mm 4.0mm Female Banana Plug Bullet Connector Adapter connected to VDD</t>
  </si>
  <si>
    <r>
      <rPr>
        <rFont val="Calibri"/>
        <color rgb="FF000000"/>
        <sz val="11.0"/>
      </rPr>
      <t>U$3,</t>
    </r>
    <r>
      <rPr>
        <rFont val="Calibri"/>
        <color rgb="FF000000"/>
        <sz val="11.0"/>
      </rPr>
      <t>U$5,U$7,U$9,U$11</t>
    </r>
  </si>
  <si>
    <t>Gold-Plated 4mm 4.0mm Female Banana Plug Bullet Connector Adapter connected to VSS</t>
  </si>
  <si>
    <r>
      <rPr>
        <rFont val="Calibri"/>
        <color rgb="FF000000"/>
        <sz val="11.0"/>
      </rPr>
      <t>U$12,</t>
    </r>
    <r>
      <rPr>
        <rFont val="Calibri"/>
        <color rgb="FF000000"/>
        <sz val="11.0"/>
      </rPr>
      <t>U$13</t>
    </r>
  </si>
  <si>
    <t>68001-203HLF</t>
  </si>
  <si>
    <t>PINHD-1X03</t>
  </si>
  <si>
    <t>U$55</t>
  </si>
  <si>
    <t>Diodes Inc.</t>
  </si>
  <si>
    <t xml:space="preserve">AP62300TWU-7 </t>
  </si>
  <si>
    <t>5 V Buck Converter</t>
  </si>
  <si>
    <t>SOT-23-6 Thin</t>
  </si>
  <si>
    <t>U1</t>
  </si>
  <si>
    <t>Bosch Sensortec</t>
  </si>
  <si>
    <t>BNO055</t>
  </si>
  <si>
    <t>BNO055 IMU</t>
  </si>
  <si>
    <t>29-LGA</t>
  </si>
  <si>
    <t>U3</t>
  </si>
  <si>
    <t>STMicroelectronics</t>
  </si>
  <si>
    <t>STM32F756VGT6</t>
  </si>
  <si>
    <t>STM32F756VGT6 Microcontroller</t>
  </si>
  <si>
    <t xml:space="preserve">100-LQFP </t>
  </si>
  <si>
    <t>37</t>
  </si>
  <si>
    <t>U33</t>
  </si>
  <si>
    <t>1</t>
  </si>
  <si>
    <t>Texas Instruments</t>
  </si>
  <si>
    <t xml:space="preserve">TLV75533PDYDR </t>
  </si>
  <si>
    <t>3.3 V LDO</t>
  </si>
  <si>
    <t>SC-74A</t>
  </si>
  <si>
    <t>0.29</t>
  </si>
  <si>
    <r>
      <rPr>
        <rFont val="Calibri"/>
        <color rgb="FF000000"/>
        <sz val="11.0"/>
      </rPr>
      <t xml:space="preserve">C3, </t>
    </r>
    <r>
      <rPr>
        <rFont val="Calibri"/>
        <color rgb="FFFF0000"/>
        <sz val="11.0"/>
      </rPr>
      <t>C9</t>
    </r>
    <r>
      <rPr>
        <rFont val="Calibri"/>
        <color rgb="FF000000"/>
        <sz val="11.0"/>
      </rPr>
      <t>, C21, C22, C26, C27, C28, C29, C30, C31, C34, C37, C38, C39</t>
    </r>
  </si>
  <si>
    <r>
      <rPr>
        <rFont val="Calibri"/>
        <color rgb="FFFF0000"/>
        <sz val="11.0"/>
      </rPr>
      <t>C11, C12</t>
    </r>
    <r>
      <rPr>
        <rFont val="Calibri"/>
        <color rgb="FF000000"/>
        <sz val="11.0"/>
      </rPr>
      <t>, C23,C25,C35,C36,C40</t>
    </r>
  </si>
  <si>
    <r>
      <rPr>
        <rFont val="Arial"/>
        <color rgb="FF000000"/>
        <sz val="10.0"/>
      </rPr>
      <t xml:space="preserve">Capacitor </t>
    </r>
    <r>
      <rPr>
        <rFont val="Calibri"/>
        <color rgb="FF000000"/>
        <sz val="11.0"/>
      </rPr>
      <t>1uF</t>
    </r>
  </si>
  <si>
    <r>
      <rPr>
        <rFont val="Calibri"/>
        <color rgb="FFFF0000"/>
        <sz val="11.0"/>
      </rPr>
      <t>C7, C8,</t>
    </r>
    <r>
      <rPr>
        <rFont val="Calibri"/>
        <color rgb="FF000000"/>
        <sz val="11.0"/>
      </rPr>
      <t xml:space="preserve"> C32</t>
    </r>
  </si>
  <si>
    <t>GRM21BR61H106KE43L</t>
  </si>
  <si>
    <r>
      <rPr>
        <rFont val="Arial"/>
        <color rgb="FF000000"/>
        <sz val="10.0"/>
      </rPr>
      <t xml:space="preserve">Capacitor </t>
    </r>
    <r>
      <rPr>
        <rFont val="Calibri"/>
        <color rgb="FF000000"/>
        <sz val="11.0"/>
      </rPr>
      <t>10 uF</t>
    </r>
  </si>
  <si>
    <t>CC0402JRNPO9BN101</t>
  </si>
  <si>
    <r>
      <rPr>
        <rFont val="Arial"/>
        <color rgb="FF000000"/>
        <sz val="10.0"/>
      </rPr>
      <t xml:space="preserve">Capacitor </t>
    </r>
    <r>
      <rPr>
        <rFont val="Calibri"/>
        <color rgb="FF000000"/>
        <sz val="11.0"/>
      </rPr>
      <t>100 pF</t>
    </r>
  </si>
  <si>
    <t>D2, D3</t>
  </si>
  <si>
    <t>MCC (Micro Commercial Components)</t>
  </si>
  <si>
    <t>SM5817PL-TP</t>
  </si>
  <si>
    <r>
      <rPr>
        <rFont val="Calibri"/>
        <color rgb="FF000000"/>
        <sz val="11.0"/>
      </rPr>
      <t xml:space="preserve">R1, R2, R3, R4, R6, R10, R12, </t>
    </r>
    <r>
      <rPr>
        <rFont val="Calibri"/>
        <color rgb="FFFF0000"/>
        <sz val="11.0"/>
      </rPr>
      <t>R16</t>
    </r>
  </si>
  <si>
    <t>ERA-2AEB103X</t>
  </si>
  <si>
    <r>
      <rPr>
        <rFont val="Calibri"/>
        <color theme="1"/>
      </rPr>
      <t xml:space="preserve">U33, </t>
    </r>
    <r>
      <rPr>
        <rFont val="Calibri"/>
        <color rgb="FFFF0000"/>
      </rPr>
      <t>U2</t>
    </r>
  </si>
  <si>
    <t>C6</t>
  </si>
  <si>
    <t>EPCOS - TDK Electronics</t>
  </si>
  <si>
    <t>B41866C5108M000</t>
  </si>
  <si>
    <t>Capacitor 1000uF</t>
  </si>
  <si>
    <t>L2, L3</t>
  </si>
  <si>
    <t>BLM15EG121SN1D</t>
  </si>
  <si>
    <t>Ferrite Beads 120 ohms</t>
  </si>
  <si>
    <t>C10</t>
  </si>
  <si>
    <t>GRM1555C1H470JA01D</t>
  </si>
  <si>
    <t>Capacitor 47pF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</si>
</sst>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Arial"/>
    </font>
    <font>
      <b/>
      <sz val="10.0"/>
      <color theme="1"/>
      <name val="Arial"/>
    </font>
    <font>
      <sz val="11.0"/>
      <color rgb="FF000000"/>
      <name val="Arial"/>
    </font>
    <font>
      <sz val="10.0"/>
      <color theme="1"/>
      <name val="Arial"/>
    </font>
    <font>
      <u/>
      <sz val="11.0"/>
      <color rgb="FF000000"/>
      <name val="Calibri"/>
    </font>
    <font>
      <u/>
      <sz val="11.0"/>
      <color rgb="FF000000"/>
      <name val="Arial"/>
    </font>
    <font>
      <sz val="10.0"/>
      <color rgb="FF000000"/>
      <name val="Arial"/>
    </font>
    <font>
      <u/>
      <sz val="10.0"/>
      <color rgb="FF0000FF"/>
      <name val="Arial"/>
    </font>
    <font>
      <u/>
      <sz val="11.0"/>
      <color rgb="FF000000"/>
      <name val="Calibri"/>
    </font>
    <font>
      <sz val="9.0"/>
      <color rgb="FF444444"/>
      <name val="Roboto"/>
    </font>
    <font>
      <b/>
      <u/>
      <sz val="10.0"/>
      <color rgb="FF0000FF"/>
      <name val="Arial"/>
    </font>
    <font>
      <color theme="1"/>
      <name val="Calibri"/>
    </font>
    <font>
      <color theme="1"/>
      <name val="Calibri"/>
      <scheme val="minor"/>
    </font>
    <font>
      <u/>
      <sz val="10.0"/>
      <color rgb="FF0000FF"/>
      <name val="Arial"/>
    </font>
    <font>
      <sz val="11.0"/>
      <color rgb="FFFF0000"/>
      <name val="Arial"/>
    </font>
    <font>
      <sz val="10.0"/>
      <color rgb="FFFF0000"/>
      <name val="Arial"/>
    </font>
    <font>
      <sz val="11.0"/>
      <color rgb="FFFF0000"/>
      <name val="Calibri"/>
    </font>
    <font>
      <u/>
      <sz val="10.0"/>
      <color rgb="FF0000FF"/>
      <name val="Arial"/>
    </font>
    <font>
      <u/>
      <sz val="11.0"/>
      <color rgb="FF0000FF"/>
      <name val="Calibri"/>
    </font>
    <font>
      <color rgb="FFFF0000"/>
      <name val="Calibri"/>
    </font>
    <font>
      <sz val="9.0"/>
      <color rgb="FFFF0000"/>
      <name val="Roboto"/>
    </font>
    <font>
      <sz val="11.0"/>
      <color theme="1"/>
      <name val="Calibri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1" fillId="0" fontId="5" numFmtId="0" xfId="0" applyAlignment="1" applyBorder="1" applyFont="1">
      <alignment horizontal="left" shrinkToFit="0" vertical="bottom" wrapText="0"/>
    </xf>
    <xf borderId="1" fillId="0" fontId="5" numFmtId="49" xfId="0" applyAlignment="1" applyBorder="1" applyFont="1" applyNumberFormat="1">
      <alignment horizontal="left"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left" shrinkToFit="0" vertical="bottom" wrapText="1"/>
    </xf>
    <xf borderId="1" fillId="0" fontId="5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horizontal="left" shrinkToFit="0" vertical="bottom" wrapText="1"/>
    </xf>
    <xf borderId="0" fillId="0" fontId="1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left" shrinkToFit="0" vertical="bottom" wrapText="1"/>
    </xf>
    <xf borderId="1" fillId="0" fontId="7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horizontal="left" shrinkToFit="0" vertical="bottom" wrapText="1"/>
    </xf>
    <xf borderId="1" fillId="0" fontId="8" numFmtId="0" xfId="0" applyAlignment="1" applyBorder="1" applyFont="1">
      <alignment horizontal="left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horizontal="left" shrinkToFit="0" vertical="bottom" wrapText="1"/>
    </xf>
    <xf borderId="1" fillId="0" fontId="10" numFmtId="0" xfId="0" applyAlignment="1" applyBorder="1" applyFont="1">
      <alignment horizontal="left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1" fillId="0" fontId="5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2" fontId="11" numFmtId="0" xfId="0" applyAlignment="1" applyFill="1" applyFont="1">
      <alignment horizontal="left" shrinkToFit="0" vertical="top" wrapText="0"/>
    </xf>
    <xf borderId="1" fillId="0" fontId="12" numFmtId="0" xfId="0" applyAlignment="1" applyBorder="1" applyFont="1">
      <alignment horizontal="left" shrinkToFit="0" vertical="bottom" wrapText="1"/>
    </xf>
    <xf borderId="0" fillId="0" fontId="13" numFmtId="0" xfId="0" applyAlignment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1" fillId="0" fontId="1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0" fillId="0" fontId="14" numFmtId="0" xfId="0" applyFont="1"/>
    <xf borderId="1" fillId="0" fontId="4" numFmtId="0" xfId="0" applyAlignment="1" applyBorder="1" applyFont="1">
      <alignment shrinkToFit="0" vertical="bottom" wrapText="1"/>
    </xf>
    <xf borderId="0" fillId="0" fontId="1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0" fontId="1" numFmtId="0" xfId="0" applyAlignment="1" applyBorder="1" applyFont="1">
      <alignment horizontal="left" shrinkToFit="0" vertical="bottom" wrapText="1"/>
    </xf>
    <xf borderId="1" fillId="0" fontId="5" numFmtId="0" xfId="0" applyAlignment="1" applyBorder="1" applyFont="1">
      <alignment horizontal="left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1" fillId="0" fontId="5" numFmtId="0" xfId="0" applyAlignment="1" applyBorder="1" applyFont="1">
      <alignment horizontal="left" shrinkToFit="0" vertical="bottom" wrapText="1"/>
    </xf>
    <xf borderId="1" fillId="0" fontId="5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shrinkToFit="0" vertical="bottom" wrapText="1"/>
    </xf>
    <xf borderId="1" fillId="0" fontId="15" numFmtId="0" xfId="0" applyAlignment="1" applyBorder="1" applyFont="1">
      <alignment horizontal="left" shrinkToFit="0" vertical="bottom" wrapText="1"/>
    </xf>
    <xf borderId="1" fillId="0" fontId="16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left" shrinkToFit="0" vertical="bottom" wrapText="0"/>
    </xf>
    <xf borderId="1" fillId="0" fontId="17" numFmtId="0" xfId="0" applyAlignment="1" applyBorder="1" applyFont="1">
      <alignment readingOrder="0" shrinkToFit="0" vertical="bottom" wrapText="1"/>
    </xf>
    <xf borderId="1" fillId="0" fontId="17" numFmtId="0" xfId="0" applyAlignment="1" applyBorder="1" applyFont="1">
      <alignment shrinkToFit="0" vertical="bottom" wrapText="1"/>
    </xf>
    <xf borderId="1" fillId="0" fontId="16" numFmtId="0" xfId="0" applyAlignment="1" applyBorder="1" applyFont="1">
      <alignment horizontal="left" shrinkToFit="0" vertical="bottom" wrapText="0"/>
    </xf>
    <xf borderId="1" fillId="0" fontId="18" numFmtId="0" xfId="0" applyAlignment="1" applyBorder="1" applyFont="1">
      <alignment horizontal="left" readingOrder="0" shrinkToFit="0" vertical="bottom" wrapText="1"/>
    </xf>
    <xf borderId="1" fillId="0" fontId="19" numFmtId="0" xfId="0" applyAlignment="1" applyBorder="1" applyFont="1">
      <alignment horizontal="left" readingOrder="0" shrinkToFit="0" vertical="bottom" wrapText="1"/>
    </xf>
    <xf borderId="0" fillId="0" fontId="18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left" shrinkToFit="0" vertical="bottom" wrapText="1"/>
    </xf>
    <xf borderId="1" fillId="0" fontId="18" numFmtId="0" xfId="0" applyAlignment="1" applyBorder="1" applyFont="1">
      <alignment horizontal="left" readingOrder="0" shrinkToFit="0" vertical="bottom" wrapText="0"/>
    </xf>
    <xf borderId="1" fillId="0" fontId="5" numFmtId="49" xfId="0" applyAlignment="1" applyBorder="1" applyFont="1" applyNumberFormat="1">
      <alignment horizontal="left" shrinkToFit="0" vertical="bottom" wrapText="1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1"/>
    </xf>
    <xf borderId="0" fillId="0" fontId="13" numFmtId="0" xfId="0" applyAlignment="1" applyFont="1">
      <alignment readingOrder="0"/>
    </xf>
    <xf borderId="1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shrinkToFit="0" vertical="bottom" wrapText="0"/>
    </xf>
    <xf borderId="1" fillId="0" fontId="20" numFmtId="0" xfId="0" applyAlignment="1" applyBorder="1" applyFont="1">
      <alignment horizontal="left" readingOrder="0" shrinkToFit="0" vertical="bottom" wrapText="1"/>
    </xf>
    <xf borderId="1" fillId="0" fontId="16" numFmtId="0" xfId="0" applyAlignment="1" applyBorder="1" applyFont="1">
      <alignment readingOrder="0" shrinkToFit="0" vertical="bottom" wrapText="1"/>
    </xf>
    <xf borderId="0" fillId="0" fontId="21" numFmtId="0" xfId="0" applyAlignment="1" applyFont="1">
      <alignment readingOrder="0"/>
    </xf>
    <xf borderId="1" fillId="0" fontId="18" numFmtId="0" xfId="0" applyAlignment="1" applyBorder="1" applyFont="1">
      <alignment readingOrder="0" shrinkToFit="0" vertical="bottom" wrapText="0"/>
    </xf>
    <xf borderId="1" fillId="0" fontId="18" numFmtId="0" xfId="0" applyAlignment="1" applyBorder="1" applyFont="1">
      <alignment shrinkToFit="0" vertical="bottom" wrapText="0"/>
    </xf>
    <xf borderId="1" fillId="0" fontId="16" numFmtId="0" xfId="0" applyAlignment="1" applyBorder="1" applyFont="1">
      <alignment horizontal="left" readingOrder="0" shrinkToFit="0" vertical="bottom" wrapText="0"/>
    </xf>
    <xf borderId="0" fillId="2" fontId="22" numFmtId="0" xfId="0" applyAlignment="1" applyFont="1">
      <alignment horizontal="left" readingOrder="0"/>
    </xf>
    <xf borderId="1" fillId="0" fontId="18" numFmtId="0" xfId="0" applyAlignment="1" applyBorder="1" applyFont="1">
      <alignment horizontal="left" shrinkToFit="0" vertical="bottom" wrapText="0"/>
    </xf>
    <xf borderId="1" fillId="3" fontId="16" numFmtId="0" xfId="0" applyAlignment="1" applyBorder="1" applyFill="1" applyFont="1">
      <alignment horizontal="right" readingOrder="0" shrinkToFit="0" vertical="bottom" wrapText="1"/>
    </xf>
    <xf borderId="0" fillId="3" fontId="18" numFmtId="0" xfId="0" applyAlignment="1" applyFont="1">
      <alignment readingOrder="0" vertical="bottom"/>
    </xf>
    <xf borderId="1" fillId="3" fontId="16" numFmtId="0" xfId="0" applyAlignment="1" applyBorder="1" applyFont="1">
      <alignment horizontal="right" readingOrder="0" vertical="bottom"/>
    </xf>
    <xf borderId="1" fillId="3" fontId="16" numFmtId="0" xfId="0" applyAlignment="1" applyBorder="1" applyFont="1">
      <alignment readingOrder="0" vertical="bottom"/>
    </xf>
    <xf borderId="1" fillId="3" fontId="18" numFmtId="0" xfId="0" applyAlignment="1" applyBorder="1" applyFont="1">
      <alignment readingOrder="0" shrinkToFit="0" vertical="bottom" wrapText="1"/>
    </xf>
    <xf borderId="1" fillId="3" fontId="18" numFmtId="0" xfId="0" applyAlignment="1" applyBorder="1" applyFont="1">
      <alignment readingOrder="0" vertical="bottom"/>
    </xf>
    <xf borderId="1" fillId="0" fontId="23" numFmtId="0" xfId="0" applyAlignment="1" applyBorder="1" applyFont="1">
      <alignment readingOrder="0" shrinkToFit="0" vertical="bottom" wrapText="1"/>
    </xf>
    <xf borderId="1" fillId="3" fontId="23" numFmtId="0" xfId="0" applyAlignment="1" applyBorder="1" applyFont="1">
      <alignment vertical="bottom"/>
    </xf>
    <xf borderId="1" fillId="3" fontId="18" numFmtId="0" xfId="0" applyAlignment="1" applyBorder="1" applyFont="1">
      <alignment horizontal="right" readingOrder="0" vertical="bottom"/>
    </xf>
    <xf borderId="1" fillId="3" fontId="24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5" pivot="0" name="Sheet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2" pivot="0" name="New  Upgrades-style">
      <tableStyleElement dxfId="2" type="firstRowStripe"/>
      <tableStyleElement dxfId="3" type="secondRowStripe"/>
    </tableStyle>
    <tableStyle count="2" pivot="0" name="New  Upgrades-style 2">
      <tableStyleElement dxfId="2" type="firstRowStripe"/>
      <tableStyleElement dxfId="3" type="secondRowStripe"/>
    </tableStyle>
    <tableStyle count="2" pivot="0" name="New  Upgrades-style 3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3:L40" displayName="Table1" name="Table1" id="1">
  <tableColumns count="12">
    <tableColumn totalsRowLabel="37" name="Item #" id="1"/>
    <tableColumn totalsRowLabel="U33" name="*Ref Des" id="2"/>
    <tableColumn totalsRowLabel="1" name="*Qty" id="3"/>
    <tableColumn totalsRowLabel="Texas Instruments" name="Manufacturer" id="4"/>
    <tableColumn totalsRowLabel="TLV75533PDYDR " name="*Mfg Part #" id="5"/>
    <tableColumn totalsRowLabel="3.3 V LDO" name="Description / Value" id="6"/>
    <tableColumn totalsRowLabel="SC-74A" name="*Package" id="7"/>
    <tableColumn totalsRowLabel="Surface Mount " name="Type" id="8"/>
    <tableColumn name="Your Instructions / Notes" id="9"/>
    <tableColumn totalsRowLabel="0.29" name="Unit Cost" id="10"/>
    <tableColumn totalsRowFunction="custom" name="Total Cost" id="11"/>
    <tableColumn totalsRowLabel="link " name="Website" id="1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2:L2" displayName="Table_1" name="Table_1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New  Upgrades-style" showColumnStripes="0" showFirstColumn="1" showLastColumn="1" showRowStripes="1"/>
</table>
</file>

<file path=xl/tables/table3.xml><?xml version="1.0" encoding="utf-8"?>
<table xmlns="http://schemas.openxmlformats.org/spreadsheetml/2006/main" headerRowCount="0" ref="A4:L8" displayName="Table_2" name="Table_2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New  Upgrades-style 2" showColumnStripes="0" showFirstColumn="1" showLastColumn="1" showRowStripes="1"/>
</table>
</file>

<file path=xl/tables/table4.xml><?xml version="1.0" encoding="utf-8"?>
<table xmlns="http://schemas.openxmlformats.org/spreadsheetml/2006/main" headerRowCount="0" ref="A9:L11" displayName="Table_3" name="Table_3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New  Upgrade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igikey.com/en/products/detail/bourns-inc/CWF1610-3R3K/14644685" TargetMode="External"/><Relationship Id="rId22" Type="http://schemas.openxmlformats.org/officeDocument/2006/relationships/hyperlink" Target="https://www.digikey.com/en/products/detail/panasonic-electronic-components/ERA-2AEB4022X/2026197" TargetMode="External"/><Relationship Id="rId21" Type="http://schemas.openxmlformats.org/officeDocument/2006/relationships/hyperlink" Target="https://www.digikey.com/en/products/detail/panasonic-electronic-components/ERA-2AEB103X/1706029" TargetMode="External"/><Relationship Id="rId24" Type="http://schemas.openxmlformats.org/officeDocument/2006/relationships/hyperlink" Target="https://www.digikey.com/en/products/detail/panasonic-electronic-components/ERJ-2RKF1001X/79729" TargetMode="External"/><Relationship Id="rId23" Type="http://schemas.openxmlformats.org/officeDocument/2006/relationships/hyperlink" Target="https://www.digikey.com/en/products/detail/yageo/RC0402JR-074K7L/726477" TargetMode="External"/><Relationship Id="rId1" Type="http://schemas.openxmlformats.org/officeDocument/2006/relationships/hyperlink" Target="https://www.digikey.com/en/products/detail/bosch-sensortec/BMP390/16164575" TargetMode="External"/><Relationship Id="rId2" Type="http://schemas.openxmlformats.org/officeDocument/2006/relationships/hyperlink" Target="https://www.digikey.com/en/products/detail/nidec-components-corporation/CL-SB-12B-01T/3507823?s=N4IgTCBcDaIMIBkC0BlAQkgjGDAGTAKiALoC%2BQA" TargetMode="External"/><Relationship Id="rId3" Type="http://schemas.openxmlformats.org/officeDocument/2006/relationships/hyperlink" Target="https://www.digikey.com/en/products/detail/kemet/C0402C150J8HACTU/7945104?s=N4IgTCBcDaIMIAYAsCxwIwFYECkAcAEgIJwAqAqgAQgC6AvkA" TargetMode="External"/><Relationship Id="rId4" Type="http://schemas.openxmlformats.org/officeDocument/2006/relationships/hyperlink" Target="https://www.digikey.com/en/products/detail/samsung-electro-mechanics/CL05A226MQ5N6J8/7320595" TargetMode="External"/><Relationship Id="rId9" Type="http://schemas.openxmlformats.org/officeDocument/2006/relationships/hyperlink" Target="https://www.digikey.com/en/products/detail/murata-electronics/GRM21BC81D106KE51L/5027585" TargetMode="External"/><Relationship Id="rId26" Type="http://schemas.openxmlformats.org/officeDocument/2006/relationships/hyperlink" Target="https://www.digikey.com/en/products/detail/yageo/RC0402JR-0747KL/726485" TargetMode="External"/><Relationship Id="rId25" Type="http://schemas.openxmlformats.org/officeDocument/2006/relationships/hyperlink" Target="https://www.digikey.com/en/products/detail/panasonic-electronic-components/ERJ-2RKF5622X/192409" TargetMode="External"/><Relationship Id="rId28" Type="http://schemas.openxmlformats.org/officeDocument/2006/relationships/hyperlink" Target="https://www.digikey.com/en/products/detail/c-k/KMR221NG-LFS/2176483?msockid=3be78e2c27cf64fd084798ba26146572" TargetMode="External"/><Relationship Id="rId27" Type="http://schemas.openxmlformats.org/officeDocument/2006/relationships/hyperlink" Target="https://www.digikey.com/en/products/detail/amphenol-cs-fci/68000-102HLF/1493545" TargetMode="External"/><Relationship Id="rId5" Type="http://schemas.openxmlformats.org/officeDocument/2006/relationships/hyperlink" Target="https://www.digikey.com/en/products/detail/samsung-electro-mechanics/CL05A104KA5NNNC/3886701" TargetMode="External"/><Relationship Id="rId6" Type="http://schemas.openxmlformats.org/officeDocument/2006/relationships/hyperlink" Target="https://www.digikey.com/en/products/detail/samsung-electro-mechanics/CL05A225KP5NSNC/3886766" TargetMode="External"/><Relationship Id="rId29" Type="http://schemas.openxmlformats.org/officeDocument/2006/relationships/hyperlink" Target="https://www.digikey.com/en/products/detail/amphenol-cs-fci/10129378-904001BLF/7915932" TargetMode="External"/><Relationship Id="rId7" Type="http://schemas.openxmlformats.org/officeDocument/2006/relationships/hyperlink" Target="https://www.digikey.com/en/products/detail/samsung-electro-mechanics/CL05A105KP5NNNC/3886734" TargetMode="External"/><Relationship Id="rId8" Type="http://schemas.openxmlformats.org/officeDocument/2006/relationships/hyperlink" Target="https://www.digikey.com/en/products/detail/murata-electronics/GRM155R61A124KE19D/2610843" TargetMode="External"/><Relationship Id="rId31" Type="http://schemas.openxmlformats.org/officeDocument/2006/relationships/hyperlink" Target="https://www.digikey.com/en/products/detail/diodes-incorporated/AP62300TWU-7/12702558" TargetMode="External"/><Relationship Id="rId30" Type="http://schemas.openxmlformats.org/officeDocument/2006/relationships/hyperlink" Target="https://www.digikey.com/en/products/detail/amphenol-cs-fci/68001-203HLF/2023312" TargetMode="External"/><Relationship Id="rId11" Type="http://schemas.openxmlformats.org/officeDocument/2006/relationships/hyperlink" Target="https://www.digikey.com/en/products/detail/ndk-nihon-dempa-kogyo-co-ltd/STDCRG1-16M/2261470?s=N4IgTCBcDaIMoBUAiBhASgcQIwFosDYBZAAhAF0BfIA" TargetMode="External"/><Relationship Id="rId33" Type="http://schemas.openxmlformats.org/officeDocument/2006/relationships/hyperlink" Target="https://www.digikey.com/en/products/detail/stmicroelectronics/STM32F756VGT6/6137828?s=N4IgTCBcDaIMoBUCyBmMAxA7AVgGwDUBxBXEAXQF8g" TargetMode="External"/><Relationship Id="rId10" Type="http://schemas.openxmlformats.org/officeDocument/2006/relationships/hyperlink" Target="https://www.digikey.com/en/products/detail/w%C3%BCrth-elektronik/885012005013/5453286" TargetMode="External"/><Relationship Id="rId32" Type="http://schemas.openxmlformats.org/officeDocument/2006/relationships/hyperlink" Target="https://www.digikey.com/en/products/detail/bosch-sensortec/BNO055/6136301" TargetMode="External"/><Relationship Id="rId13" Type="http://schemas.openxmlformats.org/officeDocument/2006/relationships/hyperlink" Target="https://www.digikey.com/en/products/detail/onsemi/MBR0520LT1G/918574?msockid=3be78e2c27cf64fd084798ba26146572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www.digikey.com/en/products/detail/w%C3%BCrth-elektronik/150040GS73220/9857949" TargetMode="External"/><Relationship Id="rId34" Type="http://schemas.openxmlformats.org/officeDocument/2006/relationships/hyperlink" Target="https://www.digikey.com/en/products/detail/texas-instruments/TLV75533PDYDR/22531567?s=N4IgTCBcDaICoBkBqB2ArGgzJgCgEQE08AlEAXQF8g" TargetMode="External"/><Relationship Id="rId15" Type="http://schemas.openxmlformats.org/officeDocument/2006/relationships/hyperlink" Target="https://www.digikey.com/en/products/detail/amphenol-cs-fci/10129381-914004BLF/7916089" TargetMode="External"/><Relationship Id="rId37" Type="http://schemas.openxmlformats.org/officeDocument/2006/relationships/table" Target="../tables/table1.xml"/><Relationship Id="rId14" Type="http://schemas.openxmlformats.org/officeDocument/2006/relationships/hyperlink" Target="https://www.digikey.com/en/products/detail/amphenol-cs-fci/10129381-916001BLF/7916090" TargetMode="External"/><Relationship Id="rId17" Type="http://schemas.openxmlformats.org/officeDocument/2006/relationships/hyperlink" Target="https://www.digikey.com/en/products/detail/amphenol-cs-fci/10129381-920001BLF/7916094" TargetMode="External"/><Relationship Id="rId16" Type="http://schemas.openxmlformats.org/officeDocument/2006/relationships/hyperlink" Target="https://www.digikey.com/en/products/detail/amphenol-cs-fci/67997-210HLF/1878541" TargetMode="External"/><Relationship Id="rId19" Type="http://schemas.openxmlformats.org/officeDocument/2006/relationships/hyperlink" Target="https://www.digikey.com/en/products/detail/amphenol-cs-fci/10129378-908001BLF/7915949" TargetMode="External"/><Relationship Id="rId18" Type="http://schemas.openxmlformats.org/officeDocument/2006/relationships/hyperlink" Target="https://www.digikey.com/en/products/detail/amphenol-cs-fci/75915-305LF/152341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en/products/detail/samsung-electro-mechanics/CL05A104KA5NNNC/3886701" TargetMode="External"/><Relationship Id="rId2" Type="http://schemas.openxmlformats.org/officeDocument/2006/relationships/hyperlink" Target="https://www.digikey.com/en/products/detail/samsung-electro-mechanics/CL05A105KP5NNNC/3886734" TargetMode="External"/><Relationship Id="rId3" Type="http://schemas.openxmlformats.org/officeDocument/2006/relationships/hyperlink" Target="https://www.digikey.com/en/products/detail/murata-electronics/GRM21BR61H106KE43L/10326316" TargetMode="External"/><Relationship Id="rId4" Type="http://schemas.openxmlformats.org/officeDocument/2006/relationships/hyperlink" Target="https://www.digikey.com/en/products/detail/yageo/CC0402JRNPO9BN101/302758" TargetMode="External"/><Relationship Id="rId9" Type="http://schemas.openxmlformats.org/officeDocument/2006/relationships/hyperlink" Target="https://www.digikey.com/en/products/detail/murata-electronics/BLM15EG121SN1D/1016163?s=N4IgTCBcDaILIFcBOBDALigBAIwDYFsBGAVgFMBzQsQgZwDtCATEAXQF8g" TargetMode="External"/><Relationship Id="rId5" Type="http://schemas.openxmlformats.org/officeDocument/2006/relationships/hyperlink" Target="https://www.digikey.com/en/products/detail/mcc-micro-commercial-components/SM5817PL-TP/1793251" TargetMode="External"/><Relationship Id="rId6" Type="http://schemas.openxmlformats.org/officeDocument/2006/relationships/hyperlink" Target="https://www.digikey.com/en/products/detail/panasonic-electronic-components/ERA-2AEB103X/1706029" TargetMode="External"/><Relationship Id="rId7" Type="http://schemas.openxmlformats.org/officeDocument/2006/relationships/hyperlink" Target="https://www.digikey.com/en/products/detail/texas-instruments/TLV75533PDYDR/22531567?s=N4IgTCBcDaICoBkBqB2ArGgzJgCgEQE08AlEAXQF8g" TargetMode="External"/><Relationship Id="rId8" Type="http://schemas.openxmlformats.org/officeDocument/2006/relationships/hyperlink" Target="https://www.digikey.com/en/products/detail/mcc-micro-commercial-components/SM5817PL-TP/1793251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www.digikey.com/en/products/detail/murata-electronics/GRM1555C1H470JA01D/3693853" TargetMode="External"/><Relationship Id="rId15" Type="http://schemas.openxmlformats.org/officeDocument/2006/relationships/table" Target="../tables/table2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50.43"/>
    <col customWidth="1" min="3" max="3" width="12.29"/>
    <col customWidth="1" min="4" max="4" width="43.14"/>
    <col customWidth="1" min="5" max="5" width="23.29"/>
    <col customWidth="1" min="6" max="6" width="81.57"/>
    <col customWidth="1" min="7" max="7" width="23.86"/>
    <col customWidth="1" min="8" max="8" width="19.43"/>
    <col customWidth="1" min="9" max="9" width="26.43"/>
    <col customWidth="1" min="10" max="12" width="19.29"/>
    <col customWidth="1" min="13" max="26" width="8.71"/>
  </cols>
  <sheetData>
    <row r="1" ht="14.25" customHeight="1">
      <c r="A1" s="1"/>
      <c r="B1" s="1"/>
      <c r="C1" s="1"/>
      <c r="D1" s="2"/>
      <c r="G1" s="3"/>
      <c r="H1" s="1"/>
      <c r="I1" s="1"/>
      <c r="J1" s="1"/>
      <c r="K1" s="1"/>
      <c r="L1" s="1"/>
    </row>
    <row r="2" ht="14.25" customHeight="1">
      <c r="A2" s="1"/>
      <c r="B2" s="1"/>
      <c r="C2" s="1"/>
      <c r="D2" s="1"/>
      <c r="E2" s="1"/>
      <c r="F2" s="1"/>
      <c r="G2" s="3"/>
      <c r="H2" s="1"/>
      <c r="I2" s="1"/>
      <c r="J2" s="1"/>
      <c r="K2" s="1"/>
      <c r="L2" s="1"/>
    </row>
    <row r="3" ht="14.25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</row>
    <row r="4" ht="14.25" customHeight="1">
      <c r="A4" s="6">
        <v>1.0</v>
      </c>
      <c r="B4" s="7" t="s">
        <v>12</v>
      </c>
      <c r="C4" s="8">
        <v>1.0</v>
      </c>
      <c r="D4" s="9" t="s">
        <v>13</v>
      </c>
      <c r="E4" s="10" t="s">
        <v>12</v>
      </c>
      <c r="F4" s="11" t="s">
        <v>14</v>
      </c>
      <c r="G4" s="12" t="s">
        <v>15</v>
      </c>
      <c r="H4" s="13" t="s">
        <v>16</v>
      </c>
      <c r="I4" s="14"/>
      <c r="J4" s="15">
        <v>3.15</v>
      </c>
      <c r="K4" s="15">
        <f t="shared" ref="K4:K16" si="1">C4*J4</f>
        <v>3.15</v>
      </c>
      <c r="L4" s="16" t="s">
        <v>17</v>
      </c>
      <c r="M4" s="17"/>
      <c r="N4" s="17"/>
      <c r="O4" s="17"/>
      <c r="P4" s="17"/>
      <c r="Q4" s="17"/>
      <c r="R4" s="17"/>
      <c r="S4" s="17"/>
      <c r="T4" s="17"/>
    </row>
    <row r="5" ht="14.25" customHeight="1">
      <c r="A5" s="6">
        <v>2.0</v>
      </c>
      <c r="B5" s="7" t="s">
        <v>18</v>
      </c>
      <c r="C5" s="8">
        <v>1.0</v>
      </c>
      <c r="D5" s="10" t="s">
        <v>19</v>
      </c>
      <c r="E5" s="10" t="s">
        <v>20</v>
      </c>
      <c r="F5" s="10" t="s">
        <v>21</v>
      </c>
      <c r="G5" s="12" t="s">
        <v>22</v>
      </c>
      <c r="H5" s="18" t="s">
        <v>23</v>
      </c>
      <c r="I5" s="19"/>
      <c r="J5" s="6">
        <v>1.34</v>
      </c>
      <c r="K5" s="15">
        <f t="shared" si="1"/>
        <v>1.34</v>
      </c>
      <c r="L5" s="20" t="s">
        <v>24</v>
      </c>
      <c r="M5" s="17"/>
      <c r="N5" s="17"/>
      <c r="O5" s="17"/>
      <c r="P5" s="17"/>
      <c r="Q5" s="17"/>
      <c r="R5" s="17"/>
      <c r="S5" s="17"/>
      <c r="T5" s="17"/>
    </row>
    <row r="6" ht="14.25" customHeight="1">
      <c r="A6" s="6">
        <v>3.0</v>
      </c>
      <c r="B6" s="7" t="s">
        <v>25</v>
      </c>
      <c r="C6" s="8">
        <v>2.0</v>
      </c>
      <c r="D6" s="9" t="s">
        <v>26</v>
      </c>
      <c r="E6" s="21" t="s">
        <v>27</v>
      </c>
      <c r="F6" s="22" t="s">
        <v>28</v>
      </c>
      <c r="G6" s="10">
        <v>402.0</v>
      </c>
      <c r="H6" s="23" t="s">
        <v>23</v>
      </c>
      <c r="I6" s="14"/>
      <c r="J6" s="15">
        <v>0.1</v>
      </c>
      <c r="K6" s="15">
        <f t="shared" si="1"/>
        <v>0.2</v>
      </c>
      <c r="L6" s="24" t="s">
        <v>24</v>
      </c>
      <c r="M6" s="17"/>
      <c r="N6" s="17"/>
      <c r="O6" s="17"/>
      <c r="P6" s="17"/>
      <c r="Q6" s="17"/>
      <c r="R6" s="17"/>
      <c r="S6" s="17"/>
      <c r="T6" s="17"/>
    </row>
    <row r="7" ht="14.25" customHeight="1">
      <c r="A7" s="6">
        <v>4.0</v>
      </c>
      <c r="B7" s="7" t="s">
        <v>29</v>
      </c>
      <c r="C7" s="8">
        <v>2.0</v>
      </c>
      <c r="D7" s="9" t="s">
        <v>30</v>
      </c>
      <c r="E7" s="21" t="s">
        <v>31</v>
      </c>
      <c r="F7" s="22" t="s">
        <v>32</v>
      </c>
      <c r="G7" s="10">
        <v>402.0</v>
      </c>
      <c r="H7" s="23" t="s">
        <v>23</v>
      </c>
      <c r="I7" s="14"/>
      <c r="J7" s="15">
        <v>0.13</v>
      </c>
      <c r="K7" s="15">
        <f t="shared" si="1"/>
        <v>0.26</v>
      </c>
      <c r="L7" s="24" t="s">
        <v>24</v>
      </c>
      <c r="M7" s="17"/>
      <c r="N7" s="17"/>
      <c r="O7" s="17"/>
      <c r="P7" s="17"/>
      <c r="Q7" s="17"/>
      <c r="R7" s="17"/>
      <c r="S7" s="17"/>
      <c r="T7" s="17"/>
    </row>
    <row r="8" ht="14.25" customHeight="1">
      <c r="A8" s="6">
        <v>5.0</v>
      </c>
      <c r="B8" s="7" t="s">
        <v>33</v>
      </c>
      <c r="C8" s="8">
        <v>13.0</v>
      </c>
      <c r="D8" s="9" t="s">
        <v>30</v>
      </c>
      <c r="E8" s="21" t="s">
        <v>34</v>
      </c>
      <c r="F8" s="11" t="s">
        <v>35</v>
      </c>
      <c r="G8" s="10">
        <v>402.0</v>
      </c>
      <c r="H8" s="23" t="s">
        <v>23</v>
      </c>
      <c r="I8" s="14"/>
      <c r="J8" s="15">
        <v>0.09</v>
      </c>
      <c r="K8" s="15">
        <f t="shared" si="1"/>
        <v>1.17</v>
      </c>
      <c r="L8" s="25" t="s">
        <v>24</v>
      </c>
      <c r="M8" s="17"/>
      <c r="N8" s="17"/>
      <c r="O8" s="17"/>
      <c r="P8" s="17"/>
      <c r="Q8" s="17"/>
      <c r="R8" s="17"/>
      <c r="S8" s="17"/>
      <c r="T8" s="17"/>
    </row>
    <row r="9" ht="14.25" customHeight="1">
      <c r="A9" s="6">
        <v>6.0</v>
      </c>
      <c r="B9" s="7" t="s">
        <v>36</v>
      </c>
      <c r="C9" s="8">
        <v>2.0</v>
      </c>
      <c r="D9" s="9" t="s">
        <v>30</v>
      </c>
      <c r="E9" s="21" t="s">
        <v>37</v>
      </c>
      <c r="F9" s="22" t="s">
        <v>38</v>
      </c>
      <c r="G9" s="10">
        <v>402.0</v>
      </c>
      <c r="H9" s="23" t="s">
        <v>23</v>
      </c>
      <c r="I9" s="14"/>
      <c r="J9" s="15">
        <v>0.13</v>
      </c>
      <c r="K9" s="15">
        <f t="shared" si="1"/>
        <v>0.26</v>
      </c>
      <c r="L9" s="24" t="s">
        <v>24</v>
      </c>
      <c r="M9" s="17"/>
      <c r="N9" s="17"/>
      <c r="O9" s="17"/>
      <c r="P9" s="17"/>
      <c r="Q9" s="17"/>
      <c r="R9" s="17"/>
      <c r="S9" s="17"/>
      <c r="T9" s="17"/>
    </row>
    <row r="10" ht="14.25" customHeight="1">
      <c r="A10" s="6">
        <v>7.0</v>
      </c>
      <c r="B10" s="7" t="s">
        <v>39</v>
      </c>
      <c r="C10" s="8">
        <v>5.0</v>
      </c>
      <c r="D10" s="9" t="s">
        <v>30</v>
      </c>
      <c r="E10" s="21" t="s">
        <v>40</v>
      </c>
      <c r="F10" s="22" t="s">
        <v>41</v>
      </c>
      <c r="G10" s="10">
        <v>402.0</v>
      </c>
      <c r="H10" s="23" t="s">
        <v>23</v>
      </c>
      <c r="I10" s="14"/>
      <c r="J10" s="15">
        <v>0.08</v>
      </c>
      <c r="K10" s="15">
        <f t="shared" si="1"/>
        <v>0.4</v>
      </c>
      <c r="L10" s="24" t="s">
        <v>24</v>
      </c>
      <c r="M10" s="17"/>
      <c r="N10" s="17"/>
      <c r="O10" s="17"/>
      <c r="P10" s="17"/>
      <c r="Q10" s="17"/>
      <c r="R10" s="17"/>
      <c r="S10" s="17"/>
      <c r="T10" s="17"/>
    </row>
    <row r="11" ht="14.25" customHeight="1">
      <c r="A11" s="6">
        <v>8.0</v>
      </c>
      <c r="B11" s="7" t="s">
        <v>42</v>
      </c>
      <c r="C11" s="8">
        <v>1.0</v>
      </c>
      <c r="D11" s="9" t="s">
        <v>43</v>
      </c>
      <c r="E11" s="21" t="s">
        <v>44</v>
      </c>
      <c r="F11" s="22" t="s">
        <v>45</v>
      </c>
      <c r="G11" s="10">
        <v>402.0</v>
      </c>
      <c r="H11" s="23" t="s">
        <v>23</v>
      </c>
      <c r="I11" s="14"/>
      <c r="J11" s="15">
        <v>0.14</v>
      </c>
      <c r="K11" s="15">
        <f t="shared" si="1"/>
        <v>0.14</v>
      </c>
      <c r="L11" s="24" t="s">
        <v>24</v>
      </c>
      <c r="M11" s="17"/>
      <c r="N11" s="17"/>
      <c r="O11" s="17"/>
      <c r="P11" s="17"/>
      <c r="Q11" s="17"/>
      <c r="R11" s="17"/>
      <c r="S11" s="17"/>
      <c r="T11" s="17"/>
    </row>
    <row r="12" ht="14.25" customHeight="1">
      <c r="A12" s="6">
        <v>9.0</v>
      </c>
      <c r="B12" s="7" t="s">
        <v>46</v>
      </c>
      <c r="C12" s="8">
        <v>1.0</v>
      </c>
      <c r="D12" s="9" t="s">
        <v>30</v>
      </c>
      <c r="E12" s="21" t="s">
        <v>47</v>
      </c>
      <c r="F12" s="22" t="s">
        <v>48</v>
      </c>
      <c r="G12" s="10">
        <v>805.0</v>
      </c>
      <c r="H12" s="23" t="s">
        <v>23</v>
      </c>
      <c r="I12" s="14"/>
      <c r="J12" s="15">
        <v>0.24</v>
      </c>
      <c r="K12" s="15">
        <f t="shared" si="1"/>
        <v>0.24</v>
      </c>
      <c r="L12" s="24" t="s">
        <v>24</v>
      </c>
      <c r="M12" s="17"/>
      <c r="N12" s="17"/>
      <c r="O12" s="17"/>
      <c r="P12" s="17"/>
      <c r="Q12" s="17"/>
      <c r="R12" s="17"/>
      <c r="S12" s="17"/>
      <c r="T12" s="17"/>
    </row>
    <row r="13" ht="14.25" customHeight="1">
      <c r="A13" s="6">
        <v>10.0</v>
      </c>
      <c r="B13" s="7" t="s">
        <v>49</v>
      </c>
      <c r="C13" s="8">
        <v>1.0</v>
      </c>
      <c r="D13" s="9" t="s">
        <v>50</v>
      </c>
      <c r="E13" s="21">
        <v>8.85012005013E11</v>
      </c>
      <c r="F13" s="22" t="s">
        <v>51</v>
      </c>
      <c r="G13" s="10">
        <v>402.0</v>
      </c>
      <c r="H13" s="23" t="s">
        <v>23</v>
      </c>
      <c r="I13" s="19"/>
      <c r="J13" s="6">
        <v>0.1</v>
      </c>
      <c r="K13" s="15">
        <f t="shared" si="1"/>
        <v>0.1</v>
      </c>
      <c r="L13" s="20" t="s">
        <v>24</v>
      </c>
      <c r="M13" s="17"/>
      <c r="N13" s="17"/>
      <c r="O13" s="17"/>
      <c r="P13" s="17"/>
      <c r="Q13" s="17"/>
      <c r="R13" s="17"/>
      <c r="S13" s="17"/>
      <c r="T13" s="17"/>
    </row>
    <row r="14" ht="14.25" customHeight="1">
      <c r="A14" s="6">
        <v>11.0</v>
      </c>
      <c r="B14" s="7" t="s">
        <v>52</v>
      </c>
      <c r="C14" s="8">
        <v>1.0</v>
      </c>
      <c r="D14" s="9" t="s">
        <v>53</v>
      </c>
      <c r="E14" s="10" t="s">
        <v>54</v>
      </c>
      <c r="F14" s="10" t="s">
        <v>55</v>
      </c>
      <c r="G14" s="26" t="s">
        <v>56</v>
      </c>
      <c r="H14" s="13" t="s">
        <v>16</v>
      </c>
      <c r="I14" s="14"/>
      <c r="J14" s="15">
        <v>0.61</v>
      </c>
      <c r="K14" s="15">
        <f t="shared" si="1"/>
        <v>0.61</v>
      </c>
      <c r="L14" s="24" t="s">
        <v>24</v>
      </c>
      <c r="M14" s="17"/>
      <c r="N14" s="17"/>
      <c r="O14" s="17"/>
      <c r="P14" s="17"/>
      <c r="Q14" s="17"/>
      <c r="R14" s="17"/>
      <c r="S14" s="17"/>
      <c r="T14" s="17"/>
    </row>
    <row r="15" ht="15.0" customHeight="1">
      <c r="A15" s="6">
        <v>12.0</v>
      </c>
      <c r="B15" s="7" t="s">
        <v>57</v>
      </c>
      <c r="C15" s="8">
        <v>1.0</v>
      </c>
      <c r="D15" s="9" t="s">
        <v>50</v>
      </c>
      <c r="E15" s="21" t="s">
        <v>58</v>
      </c>
      <c r="F15" s="10" t="s">
        <v>59</v>
      </c>
      <c r="G15" s="10">
        <v>402.0</v>
      </c>
      <c r="H15" s="23" t="s">
        <v>23</v>
      </c>
      <c r="I15" s="14"/>
      <c r="J15" s="15">
        <v>0.15</v>
      </c>
      <c r="K15" s="15">
        <f t="shared" si="1"/>
        <v>0.15</v>
      </c>
      <c r="L15" s="24" t="s">
        <v>24</v>
      </c>
      <c r="M15" s="17"/>
      <c r="N15" s="17"/>
      <c r="O15" s="17"/>
      <c r="P15" s="17"/>
      <c r="Q15" s="17"/>
      <c r="R15" s="17"/>
      <c r="S15" s="17"/>
      <c r="T15" s="17"/>
    </row>
    <row r="16" ht="14.25" customHeight="1">
      <c r="A16" s="6">
        <v>13.0</v>
      </c>
      <c r="B16" s="7" t="s">
        <v>60</v>
      </c>
      <c r="C16" s="8">
        <v>1.0</v>
      </c>
      <c r="D16" s="9" t="s">
        <v>61</v>
      </c>
      <c r="E16" s="10" t="s">
        <v>62</v>
      </c>
      <c r="F16" s="22" t="s">
        <v>63</v>
      </c>
      <c r="G16" s="12" t="s">
        <v>64</v>
      </c>
      <c r="H16" s="27" t="s">
        <v>23</v>
      </c>
      <c r="I16" s="14"/>
      <c r="J16" s="15">
        <v>0.23</v>
      </c>
      <c r="K16" s="15">
        <f t="shared" si="1"/>
        <v>0.23</v>
      </c>
      <c r="L16" s="24" t="s">
        <v>24</v>
      </c>
      <c r="M16" s="17"/>
      <c r="N16" s="17"/>
      <c r="O16" s="17"/>
      <c r="P16" s="17"/>
      <c r="Q16" s="17"/>
      <c r="R16" s="17"/>
      <c r="S16" s="17"/>
      <c r="T16" s="17"/>
    </row>
    <row r="17" ht="14.25" customHeight="1">
      <c r="A17" s="6">
        <v>14.0</v>
      </c>
      <c r="B17" s="7" t="s">
        <v>65</v>
      </c>
      <c r="C17" s="8">
        <v>11.0</v>
      </c>
      <c r="D17" s="9" t="s">
        <v>22</v>
      </c>
      <c r="E17" s="26" t="s">
        <v>22</v>
      </c>
      <c r="F17" s="10" t="s">
        <v>66</v>
      </c>
      <c r="G17" s="12"/>
      <c r="H17" s="27" t="s">
        <v>67</v>
      </c>
      <c r="I17" s="14"/>
      <c r="J17" s="28" t="s">
        <v>22</v>
      </c>
      <c r="K17" s="29"/>
      <c r="L17" s="10" t="s">
        <v>22</v>
      </c>
      <c r="M17" s="17"/>
      <c r="N17" s="17"/>
      <c r="O17" s="17"/>
      <c r="P17" s="17"/>
      <c r="Q17" s="17"/>
      <c r="R17" s="17"/>
      <c r="S17" s="17"/>
      <c r="T17" s="17"/>
    </row>
    <row r="18" ht="14.25" customHeight="1">
      <c r="A18" s="6">
        <v>15.0</v>
      </c>
      <c r="B18" s="7" t="s">
        <v>68</v>
      </c>
      <c r="C18" s="8">
        <v>2.0</v>
      </c>
      <c r="D18" s="9" t="s">
        <v>69</v>
      </c>
      <c r="E18" s="21" t="s">
        <v>70</v>
      </c>
      <c r="F18" s="10" t="s">
        <v>71</v>
      </c>
      <c r="G18" s="12"/>
      <c r="H18" s="27" t="s">
        <v>72</v>
      </c>
      <c r="I18" s="14"/>
      <c r="J18" s="15">
        <v>0.27</v>
      </c>
      <c r="K18" s="15">
        <f t="shared" ref="K18:K33" si="2">C18*J18</f>
        <v>0.54</v>
      </c>
      <c r="L18" s="24" t="s">
        <v>24</v>
      </c>
    </row>
    <row r="19" ht="14.25" customHeight="1">
      <c r="A19" s="6">
        <v>16.0</v>
      </c>
      <c r="B19" s="7" t="s">
        <v>73</v>
      </c>
      <c r="C19" s="8">
        <v>1.0</v>
      </c>
      <c r="D19" s="9" t="s">
        <v>69</v>
      </c>
      <c r="E19" s="21" t="s">
        <v>74</v>
      </c>
      <c r="F19" s="10" t="s">
        <v>75</v>
      </c>
      <c r="G19" s="12"/>
      <c r="H19" s="27" t="s">
        <v>72</v>
      </c>
      <c r="I19" s="14"/>
      <c r="J19" s="15">
        <v>0.29</v>
      </c>
      <c r="K19" s="15">
        <f t="shared" si="2"/>
        <v>0.29</v>
      </c>
      <c r="L19" s="24" t="s">
        <v>24</v>
      </c>
    </row>
    <row r="20" ht="14.25" customHeight="1">
      <c r="A20" s="6">
        <v>17.0</v>
      </c>
      <c r="B20" s="7" t="s">
        <v>76</v>
      </c>
      <c r="C20" s="8">
        <v>2.0</v>
      </c>
      <c r="D20" s="9" t="s">
        <v>69</v>
      </c>
      <c r="E20" s="21" t="s">
        <v>77</v>
      </c>
      <c r="F20" s="10" t="s">
        <v>78</v>
      </c>
      <c r="G20" s="10"/>
      <c r="H20" s="27" t="s">
        <v>72</v>
      </c>
      <c r="I20" s="14"/>
      <c r="J20" s="15">
        <v>0.72</v>
      </c>
      <c r="K20" s="15">
        <f t="shared" si="2"/>
        <v>1.44</v>
      </c>
      <c r="L20" s="24" t="s">
        <v>24</v>
      </c>
    </row>
    <row r="21" ht="14.25" customHeight="1">
      <c r="A21" s="6">
        <v>18.0</v>
      </c>
      <c r="B21" s="7" t="s">
        <v>79</v>
      </c>
      <c r="C21" s="8">
        <v>1.0</v>
      </c>
      <c r="D21" s="9" t="s">
        <v>69</v>
      </c>
      <c r="E21" s="21" t="s">
        <v>80</v>
      </c>
      <c r="F21" s="10" t="s">
        <v>81</v>
      </c>
      <c r="G21" s="10"/>
      <c r="H21" s="27" t="s">
        <v>72</v>
      </c>
      <c r="I21" s="14"/>
      <c r="J21" s="15">
        <v>0.32</v>
      </c>
      <c r="K21" s="15">
        <f t="shared" si="2"/>
        <v>0.32</v>
      </c>
      <c r="L21" s="24" t="s">
        <v>24</v>
      </c>
    </row>
    <row r="22" ht="14.25" customHeight="1">
      <c r="A22" s="6">
        <v>19.0</v>
      </c>
      <c r="B22" s="7" t="s">
        <v>82</v>
      </c>
      <c r="C22" s="30">
        <v>1.0</v>
      </c>
      <c r="D22" s="9" t="s">
        <v>69</v>
      </c>
      <c r="E22" s="21" t="s">
        <v>83</v>
      </c>
      <c r="F22" s="10" t="s">
        <v>84</v>
      </c>
      <c r="G22" s="10"/>
      <c r="H22" s="27" t="s">
        <v>72</v>
      </c>
      <c r="I22" s="14"/>
      <c r="J22" s="15">
        <v>0.6</v>
      </c>
      <c r="K22" s="15">
        <f t="shared" si="2"/>
        <v>0.6</v>
      </c>
      <c r="L22" s="24" t="s">
        <v>24</v>
      </c>
    </row>
    <row r="23" ht="14.25" customHeight="1">
      <c r="A23" s="6">
        <v>20.0</v>
      </c>
      <c r="B23" s="7" t="s">
        <v>85</v>
      </c>
      <c r="C23" s="30">
        <v>2.0</v>
      </c>
      <c r="D23" s="9" t="s">
        <v>69</v>
      </c>
      <c r="E23" s="21" t="s">
        <v>86</v>
      </c>
      <c r="F23" s="10" t="s">
        <v>87</v>
      </c>
      <c r="G23" s="10"/>
      <c r="H23" s="27" t="s">
        <v>72</v>
      </c>
      <c r="I23" s="14"/>
      <c r="J23" s="15">
        <v>0.16</v>
      </c>
      <c r="K23" s="15">
        <f t="shared" si="2"/>
        <v>0.32</v>
      </c>
      <c r="L23" s="24" t="s">
        <v>24</v>
      </c>
    </row>
    <row r="24" ht="14.25" customHeight="1">
      <c r="A24" s="6">
        <v>21.0</v>
      </c>
      <c r="B24" s="7" t="s">
        <v>88</v>
      </c>
      <c r="C24" s="30">
        <v>1.0</v>
      </c>
      <c r="D24" s="10" t="s">
        <v>89</v>
      </c>
      <c r="E24" s="31" t="s">
        <v>90</v>
      </c>
      <c r="F24" s="22" t="s">
        <v>91</v>
      </c>
      <c r="G24" s="10">
        <v>603.0</v>
      </c>
      <c r="H24" s="27" t="s">
        <v>23</v>
      </c>
      <c r="I24" s="14"/>
      <c r="J24" s="15">
        <v>0.15</v>
      </c>
      <c r="K24" s="15">
        <f t="shared" si="2"/>
        <v>0.15</v>
      </c>
      <c r="L24" s="32" t="s">
        <v>24</v>
      </c>
    </row>
    <row r="25" ht="14.25" customHeight="1">
      <c r="A25" s="6">
        <v>22.0</v>
      </c>
      <c r="B25" s="7" t="s">
        <v>92</v>
      </c>
      <c r="C25" s="30">
        <v>7.0</v>
      </c>
      <c r="D25" s="9" t="s">
        <v>30</v>
      </c>
      <c r="E25" s="21" t="s">
        <v>93</v>
      </c>
      <c r="F25" s="10" t="s">
        <v>94</v>
      </c>
      <c r="G25" s="10">
        <v>402.0</v>
      </c>
      <c r="H25" s="27" t="s">
        <v>23</v>
      </c>
      <c r="I25" s="14"/>
      <c r="J25" s="15">
        <v>0.1</v>
      </c>
      <c r="K25" s="15">
        <f t="shared" si="2"/>
        <v>0.7</v>
      </c>
      <c r="L25" s="24" t="s">
        <v>24</v>
      </c>
    </row>
    <row r="26" ht="14.25" customHeight="1">
      <c r="A26" s="6">
        <v>23.0</v>
      </c>
      <c r="B26" s="7" t="s">
        <v>95</v>
      </c>
      <c r="C26" s="30">
        <v>2.0</v>
      </c>
      <c r="D26" s="10" t="s">
        <v>96</v>
      </c>
      <c r="E26" s="21" t="s">
        <v>97</v>
      </c>
      <c r="F26" s="10" t="s">
        <v>98</v>
      </c>
      <c r="G26" s="10">
        <v>402.0</v>
      </c>
      <c r="H26" s="27" t="s">
        <v>23</v>
      </c>
      <c r="I26" s="14"/>
      <c r="J26" s="15">
        <v>0.1</v>
      </c>
      <c r="K26" s="15">
        <f t="shared" si="2"/>
        <v>0.2</v>
      </c>
      <c r="L26" s="24" t="s">
        <v>24</v>
      </c>
    </row>
    <row r="27" ht="14.25" customHeight="1">
      <c r="A27" s="6">
        <v>24.0</v>
      </c>
      <c r="B27" s="7" t="s">
        <v>99</v>
      </c>
      <c r="C27" s="30">
        <v>3.0</v>
      </c>
      <c r="D27" s="10" t="s">
        <v>100</v>
      </c>
      <c r="E27" s="21" t="s">
        <v>101</v>
      </c>
      <c r="F27" s="10" t="s">
        <v>102</v>
      </c>
      <c r="G27" s="10">
        <v>402.0</v>
      </c>
      <c r="H27" s="27" t="s">
        <v>23</v>
      </c>
      <c r="I27" s="14"/>
      <c r="J27" s="15">
        <v>0.1</v>
      </c>
      <c r="K27" s="15">
        <f t="shared" si="2"/>
        <v>0.3</v>
      </c>
      <c r="L27" s="24" t="s">
        <v>24</v>
      </c>
    </row>
    <row r="28" ht="14.25" customHeight="1">
      <c r="A28" s="6">
        <v>25.0</v>
      </c>
      <c r="B28" s="7" t="s">
        <v>103</v>
      </c>
      <c r="C28" s="30">
        <v>1.0</v>
      </c>
      <c r="D28" s="10" t="s">
        <v>96</v>
      </c>
      <c r="E28" s="21" t="s">
        <v>104</v>
      </c>
      <c r="F28" s="10" t="s">
        <v>105</v>
      </c>
      <c r="G28" s="10">
        <v>402.0</v>
      </c>
      <c r="H28" s="27" t="s">
        <v>23</v>
      </c>
      <c r="I28" s="14"/>
      <c r="J28" s="15">
        <v>0.1</v>
      </c>
      <c r="K28" s="15">
        <f t="shared" si="2"/>
        <v>0.1</v>
      </c>
      <c r="L28" s="24" t="s">
        <v>24</v>
      </c>
    </row>
    <row r="29" ht="14.25" customHeight="1">
      <c r="A29" s="6">
        <v>26.0</v>
      </c>
      <c r="B29" s="7" t="s">
        <v>106</v>
      </c>
      <c r="C29" s="30">
        <v>1.0</v>
      </c>
      <c r="D29" s="10" t="s">
        <v>96</v>
      </c>
      <c r="E29" s="31" t="s">
        <v>107</v>
      </c>
      <c r="F29" s="10" t="s">
        <v>108</v>
      </c>
      <c r="G29" s="10">
        <v>402.0</v>
      </c>
      <c r="H29" s="27" t="s">
        <v>23</v>
      </c>
      <c r="I29" s="14"/>
      <c r="J29" s="15">
        <v>0.1</v>
      </c>
      <c r="K29" s="15">
        <f t="shared" si="2"/>
        <v>0.1</v>
      </c>
      <c r="L29" s="24" t="s">
        <v>24</v>
      </c>
    </row>
    <row r="30" ht="14.25" customHeight="1">
      <c r="A30" s="6">
        <v>27.0</v>
      </c>
      <c r="B30" s="7" t="s">
        <v>109</v>
      </c>
      <c r="C30" s="30">
        <v>1.0</v>
      </c>
      <c r="D30" s="10" t="s">
        <v>100</v>
      </c>
      <c r="E30" s="21" t="s">
        <v>110</v>
      </c>
      <c r="F30" s="10" t="s">
        <v>111</v>
      </c>
      <c r="G30" s="10">
        <v>402.0</v>
      </c>
      <c r="H30" s="27" t="s">
        <v>23</v>
      </c>
      <c r="I30" s="14"/>
      <c r="J30" s="15">
        <v>0.1</v>
      </c>
      <c r="K30" s="15">
        <f t="shared" si="2"/>
        <v>0.1</v>
      </c>
      <c r="L30" s="24" t="s">
        <v>24</v>
      </c>
    </row>
    <row r="31" ht="14.25" customHeight="1">
      <c r="A31" s="6">
        <v>28.0</v>
      </c>
      <c r="B31" s="7" t="s">
        <v>112</v>
      </c>
      <c r="C31" s="30">
        <v>2.0</v>
      </c>
      <c r="D31" s="9" t="s">
        <v>69</v>
      </c>
      <c r="E31" s="21" t="s">
        <v>113</v>
      </c>
      <c r="F31" s="10" t="s">
        <v>114</v>
      </c>
      <c r="G31" s="10"/>
      <c r="H31" s="27" t="s">
        <v>72</v>
      </c>
      <c r="I31" s="10"/>
      <c r="J31" s="29">
        <v>0.21</v>
      </c>
      <c r="K31" s="15">
        <f t="shared" si="2"/>
        <v>0.42</v>
      </c>
      <c r="L31" s="25" t="s">
        <v>24</v>
      </c>
    </row>
    <row r="32" ht="14.25" customHeight="1">
      <c r="A32" s="6">
        <v>29.0</v>
      </c>
      <c r="B32" s="7" t="s">
        <v>115</v>
      </c>
      <c r="C32" s="30">
        <v>1.0</v>
      </c>
      <c r="D32" s="10" t="s">
        <v>116</v>
      </c>
      <c r="E32" s="21" t="s">
        <v>117</v>
      </c>
      <c r="F32" s="10" t="s">
        <v>118</v>
      </c>
      <c r="G32" s="10"/>
      <c r="H32" s="18" t="s">
        <v>23</v>
      </c>
      <c r="I32" s="10"/>
      <c r="J32" s="29">
        <v>0.59</v>
      </c>
      <c r="K32" s="15">
        <f t="shared" si="2"/>
        <v>0.59</v>
      </c>
      <c r="L32" s="25" t="s">
        <v>24</v>
      </c>
    </row>
    <row r="33" ht="14.25" customHeight="1">
      <c r="A33" s="6">
        <v>30.0</v>
      </c>
      <c r="B33" s="33" t="s">
        <v>119</v>
      </c>
      <c r="C33" s="34">
        <v>1.0</v>
      </c>
      <c r="D33" s="9" t="s">
        <v>69</v>
      </c>
      <c r="E33" s="21" t="s">
        <v>120</v>
      </c>
      <c r="F33" s="10" t="s">
        <v>121</v>
      </c>
      <c r="G33" s="10"/>
      <c r="H33" s="27" t="s">
        <v>72</v>
      </c>
      <c r="I33" s="10"/>
      <c r="J33" s="29">
        <v>0.1</v>
      </c>
      <c r="K33" s="15">
        <f t="shared" si="2"/>
        <v>0.1</v>
      </c>
      <c r="L33" s="25" t="s">
        <v>24</v>
      </c>
    </row>
    <row r="34" ht="14.25" customHeight="1">
      <c r="A34" s="6">
        <v>31.0</v>
      </c>
      <c r="B34" s="33" t="s">
        <v>122</v>
      </c>
      <c r="C34" s="34">
        <v>5.0</v>
      </c>
      <c r="D34" s="10" t="s">
        <v>22</v>
      </c>
      <c r="E34" s="10" t="s">
        <v>22</v>
      </c>
      <c r="F34" s="10" t="s">
        <v>123</v>
      </c>
      <c r="G34" s="10"/>
      <c r="H34" s="27" t="s">
        <v>72</v>
      </c>
      <c r="I34" s="10"/>
      <c r="J34" s="28" t="s">
        <v>22</v>
      </c>
      <c r="K34" s="29"/>
      <c r="L34" s="10" t="s">
        <v>22</v>
      </c>
    </row>
    <row r="35" ht="14.25" customHeight="1">
      <c r="A35" s="6">
        <v>32.0</v>
      </c>
      <c r="B35" s="33" t="s">
        <v>124</v>
      </c>
      <c r="C35" s="34">
        <v>5.0</v>
      </c>
      <c r="D35" s="10" t="s">
        <v>22</v>
      </c>
      <c r="E35" s="10" t="s">
        <v>22</v>
      </c>
      <c r="F35" s="22" t="s">
        <v>125</v>
      </c>
      <c r="G35" s="10"/>
      <c r="H35" s="27" t="s">
        <v>72</v>
      </c>
      <c r="I35" s="10"/>
      <c r="J35" s="28" t="s">
        <v>22</v>
      </c>
      <c r="K35" s="29"/>
      <c r="L35" s="10" t="s">
        <v>22</v>
      </c>
    </row>
    <row r="36" ht="14.25" customHeight="1">
      <c r="A36" s="6">
        <v>33.0</v>
      </c>
      <c r="B36" s="33" t="s">
        <v>126</v>
      </c>
      <c r="C36" s="34">
        <v>2.0</v>
      </c>
      <c r="D36" s="9" t="s">
        <v>69</v>
      </c>
      <c r="E36" s="10" t="s">
        <v>127</v>
      </c>
      <c r="F36" s="10" t="s">
        <v>128</v>
      </c>
      <c r="G36" s="10"/>
      <c r="H36" s="27" t="s">
        <v>72</v>
      </c>
      <c r="I36" s="10"/>
      <c r="J36" s="29">
        <v>0.22</v>
      </c>
      <c r="K36" s="15">
        <f t="shared" ref="K36:K39" si="3">C36*J36</f>
        <v>0.44</v>
      </c>
      <c r="L36" s="25" t="s">
        <v>24</v>
      </c>
    </row>
    <row r="37" ht="14.25" customHeight="1">
      <c r="A37" s="6">
        <v>34.0</v>
      </c>
      <c r="B37" s="33" t="s">
        <v>129</v>
      </c>
      <c r="C37" s="34">
        <v>1.0</v>
      </c>
      <c r="D37" s="10" t="s">
        <v>130</v>
      </c>
      <c r="E37" s="21" t="s">
        <v>131</v>
      </c>
      <c r="F37" s="10" t="s">
        <v>132</v>
      </c>
      <c r="G37" s="10" t="s">
        <v>133</v>
      </c>
      <c r="H37" s="13" t="s">
        <v>23</v>
      </c>
      <c r="I37" s="10"/>
      <c r="J37" s="29">
        <v>0.3</v>
      </c>
      <c r="K37" s="15">
        <f t="shared" si="3"/>
        <v>0.3</v>
      </c>
      <c r="L37" s="16" t="s">
        <v>17</v>
      </c>
    </row>
    <row r="38" ht="14.25" customHeight="1">
      <c r="A38" s="6">
        <v>35.0</v>
      </c>
      <c r="B38" s="33" t="s">
        <v>134</v>
      </c>
      <c r="C38" s="34">
        <v>1.0</v>
      </c>
      <c r="D38" s="10" t="s">
        <v>135</v>
      </c>
      <c r="E38" s="10" t="s">
        <v>136</v>
      </c>
      <c r="F38" s="10" t="s">
        <v>137</v>
      </c>
      <c r="G38" s="10" t="s">
        <v>138</v>
      </c>
      <c r="H38" s="13" t="s">
        <v>23</v>
      </c>
      <c r="I38" s="10"/>
      <c r="J38" s="29">
        <v>12.34</v>
      </c>
      <c r="K38" s="15">
        <f t="shared" si="3"/>
        <v>12.34</v>
      </c>
      <c r="L38" s="16" t="s">
        <v>17</v>
      </c>
    </row>
    <row r="39" ht="14.25" customHeight="1">
      <c r="A39" s="6">
        <v>36.0</v>
      </c>
      <c r="B39" s="33" t="s">
        <v>139</v>
      </c>
      <c r="C39" s="34">
        <v>1.0</v>
      </c>
      <c r="D39" s="10" t="s">
        <v>140</v>
      </c>
      <c r="E39" s="10" t="s">
        <v>141</v>
      </c>
      <c r="F39" s="10" t="s">
        <v>142</v>
      </c>
      <c r="G39" s="21" t="s">
        <v>143</v>
      </c>
      <c r="H39" s="13" t="s">
        <v>23</v>
      </c>
      <c r="I39" s="10"/>
      <c r="J39" s="29">
        <v>17.92</v>
      </c>
      <c r="K39" s="15">
        <f t="shared" si="3"/>
        <v>17.92</v>
      </c>
      <c r="L39" s="16" t="s">
        <v>17</v>
      </c>
    </row>
    <row r="40" ht="14.25" customHeight="1">
      <c r="A40" s="6" t="s">
        <v>144</v>
      </c>
      <c r="B40" s="33" t="s">
        <v>145</v>
      </c>
      <c r="C40" s="34" t="s">
        <v>146</v>
      </c>
      <c r="D40" s="10" t="s">
        <v>147</v>
      </c>
      <c r="E40" s="21" t="s">
        <v>148</v>
      </c>
      <c r="F40" s="10" t="s">
        <v>149</v>
      </c>
      <c r="G40" s="21" t="s">
        <v>150</v>
      </c>
      <c r="H40" s="35" t="s">
        <v>16</v>
      </c>
      <c r="I40" s="10"/>
      <c r="J40" s="29" t="s">
        <v>151</v>
      </c>
      <c r="K40" s="29">
        <f>J40*C40</f>
        <v>0.29</v>
      </c>
      <c r="L40" s="16" t="s">
        <v>17</v>
      </c>
    </row>
    <row r="41" ht="14.25" customHeight="1">
      <c r="A41" s="36"/>
      <c r="H41" s="17"/>
      <c r="K41" s="37">
        <f>SUM(Table1[Total Cost])</f>
        <v>45.52</v>
      </c>
    </row>
    <row r="42" ht="14.25" customHeight="1">
      <c r="A42" s="36"/>
    </row>
    <row r="43" ht="14.25" customHeight="1">
      <c r="A43" s="36"/>
    </row>
    <row r="44" ht="14.25" customHeight="1">
      <c r="A44" s="36"/>
    </row>
    <row r="45" ht="14.25" customHeight="1">
      <c r="A45" s="36"/>
    </row>
    <row r="46" ht="14.25" customHeight="1">
      <c r="A46" s="36"/>
    </row>
    <row r="47" ht="14.25" customHeight="1">
      <c r="A47" s="36"/>
    </row>
    <row r="48" ht="14.25" customHeight="1">
      <c r="A48" s="36"/>
    </row>
    <row r="49" ht="14.25" customHeight="1">
      <c r="A49" s="36"/>
    </row>
    <row r="50" ht="14.25" customHeight="1">
      <c r="A50" s="36"/>
    </row>
    <row r="51" ht="14.25" customHeight="1">
      <c r="A51" s="36"/>
    </row>
    <row r="52" ht="14.25" customHeight="1">
      <c r="A52" s="36"/>
    </row>
    <row r="53" ht="14.25" customHeight="1">
      <c r="A53" s="36"/>
    </row>
    <row r="54" ht="14.25" customHeight="1">
      <c r="A54" s="36"/>
    </row>
    <row r="55" ht="14.25" customHeight="1">
      <c r="A55" s="36"/>
    </row>
    <row r="56" ht="14.25" customHeight="1">
      <c r="A56" s="36"/>
    </row>
    <row r="57" ht="14.25" customHeight="1">
      <c r="A57" s="36"/>
    </row>
    <row r="58" ht="14.25" customHeight="1">
      <c r="A58" s="36"/>
    </row>
    <row r="59" ht="14.25" customHeight="1">
      <c r="A59" s="36"/>
    </row>
    <row r="60" ht="14.25" customHeight="1">
      <c r="A60" s="36"/>
    </row>
    <row r="61" ht="14.25" customHeight="1">
      <c r="A61" s="36"/>
    </row>
    <row r="62" ht="14.25" customHeight="1">
      <c r="A62" s="36"/>
    </row>
    <row r="63" ht="14.25" customHeight="1">
      <c r="A63" s="36"/>
    </row>
    <row r="64" ht="14.25" customHeight="1">
      <c r="A64" s="36"/>
    </row>
    <row r="65" ht="14.25" customHeight="1">
      <c r="A65" s="36"/>
    </row>
    <row r="66" ht="14.25" customHeight="1">
      <c r="A66" s="36"/>
    </row>
    <row r="67" ht="14.25" customHeight="1">
      <c r="A67" s="36"/>
    </row>
    <row r="68" ht="14.25" customHeight="1">
      <c r="A68" s="36"/>
    </row>
    <row r="69" ht="14.25" customHeight="1">
      <c r="A69" s="36"/>
    </row>
    <row r="70" ht="14.25" customHeight="1">
      <c r="A70" s="36"/>
    </row>
    <row r="71" ht="14.25" customHeight="1">
      <c r="A71" s="36"/>
    </row>
    <row r="72" ht="14.25" customHeight="1">
      <c r="A72" s="36"/>
    </row>
    <row r="73" ht="14.25" customHeight="1">
      <c r="A73" s="36"/>
    </row>
    <row r="74" ht="14.25" customHeight="1">
      <c r="A74" s="36"/>
    </row>
    <row r="75" ht="14.25" customHeight="1">
      <c r="A75" s="36"/>
    </row>
    <row r="76" ht="14.25" customHeight="1">
      <c r="A76" s="36"/>
    </row>
    <row r="77" ht="14.25" customHeight="1">
      <c r="A77" s="36"/>
    </row>
    <row r="78" ht="14.25" customHeight="1">
      <c r="A78" s="36"/>
    </row>
    <row r="79" ht="14.25" customHeight="1">
      <c r="A79" s="36"/>
    </row>
    <row r="80" ht="14.25" customHeight="1">
      <c r="A80" s="36"/>
    </row>
    <row r="81" ht="14.25" customHeight="1">
      <c r="A81" s="36"/>
    </row>
    <row r="82" ht="14.25" customHeight="1">
      <c r="A82" s="36"/>
    </row>
    <row r="83" ht="14.25" customHeight="1">
      <c r="A83" s="36"/>
    </row>
    <row r="84" ht="14.25" customHeight="1">
      <c r="A84" s="36"/>
    </row>
    <row r="85" ht="14.25" customHeight="1">
      <c r="A85" s="36"/>
    </row>
    <row r="86" ht="14.25" customHeight="1">
      <c r="A86" s="36"/>
    </row>
    <row r="87" ht="14.25" customHeight="1">
      <c r="A87" s="36"/>
    </row>
    <row r="88" ht="14.25" customHeight="1">
      <c r="A88" s="36"/>
    </row>
    <row r="89" ht="14.25" customHeight="1">
      <c r="A89" s="36"/>
    </row>
    <row r="90" ht="14.25" customHeight="1">
      <c r="A90" s="36"/>
    </row>
    <row r="91" ht="14.25" customHeight="1">
      <c r="A91" s="36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D1:F1"/>
    <mergeCell ref="H41:I41"/>
  </mergeCells>
  <dataValidations>
    <dataValidation type="custom" allowBlank="1" showDropDown="1" sqref="A4:A39 C4:C39 J4:K39">
      <formula1>AND(ISNUMBER(A4),(NOT(OR(NOT(ISERROR(DATEVALUE(A4))), AND(ISNUMBER(A4), LEFT(CELL("format", A4))="D")))))</formula1>
    </dataValidation>
    <dataValidation type="list" allowBlank="1" showDropDown="1" showErrorMessage="1" sqref="H4:H39">
      <formula1>"Surface Mount ,Surface Mount,Exposed Copper,Through hole"</formula1>
    </dataValidation>
  </dataValidations>
  <hyperlinks>
    <hyperlink r:id="rId1" ref="L4"/>
    <hyperlink r:id="rId2" ref="L5"/>
    <hyperlink r:id="rId3" ref="L6"/>
    <hyperlink r:id="rId4" ref="L7"/>
    <hyperlink r:id="rId5" ref="L8"/>
    <hyperlink r:id="rId6" ref="L9"/>
    <hyperlink r:id="rId7" ref="L10"/>
    <hyperlink r:id="rId8" ref="L11"/>
    <hyperlink r:id="rId9" ref="L12"/>
    <hyperlink r:id="rId10" ref="L13"/>
    <hyperlink r:id="rId11" ref="L14"/>
    <hyperlink r:id="rId12" ref="L15"/>
    <hyperlink r:id="rId13" ref="L16"/>
    <hyperlink r:id="rId14" ref="L18"/>
    <hyperlink r:id="rId15" ref="L19"/>
    <hyperlink r:id="rId16" ref="L20"/>
    <hyperlink r:id="rId17" ref="L21"/>
    <hyperlink r:id="rId18" ref="L22"/>
    <hyperlink r:id="rId19" ref="L23"/>
    <hyperlink r:id="rId20" ref="L24"/>
    <hyperlink r:id="rId21" ref="L25"/>
    <hyperlink r:id="rId22" ref="L26"/>
    <hyperlink r:id="rId23" ref="L27"/>
    <hyperlink r:id="rId24" ref="L28"/>
    <hyperlink r:id="rId25" ref="L29"/>
    <hyperlink r:id="rId26" ref="L30"/>
    <hyperlink r:id="rId27" ref="L31"/>
    <hyperlink r:id="rId28" ref="L32"/>
    <hyperlink r:id="rId29" ref="L33"/>
    <hyperlink r:id="rId30" ref="L36"/>
    <hyperlink r:id="rId31" ref="L37"/>
    <hyperlink r:id="rId32" ref="L38"/>
    <hyperlink r:id="rId33" ref="L39"/>
    <hyperlink r:id="rId34" ref="L40"/>
  </hyperlinks>
  <printOptions/>
  <pageMargins bottom="0.75" footer="0.0" header="0.0" left="0.7" right="0.7" top="0.75"/>
  <pageSetup orientation="portrait"/>
  <drawing r:id="rId35"/>
  <tableParts count="1">
    <tablePart r:id="rId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7.29"/>
    <col customWidth="1" min="4" max="4" width="37.29"/>
    <col customWidth="1" min="5" max="5" width="22.71"/>
    <col customWidth="1" min="6" max="6" width="21.14"/>
    <col customWidth="1" min="8" max="8" width="22.86"/>
  </cols>
  <sheetData>
    <row r="2" ht="14.25" customHeight="1">
      <c r="A2" s="38">
        <v>5.0</v>
      </c>
      <c r="B2" s="39" t="s">
        <v>152</v>
      </c>
      <c r="C2" s="40">
        <v>14.0</v>
      </c>
      <c r="D2" s="41" t="s">
        <v>30</v>
      </c>
      <c r="E2" s="42" t="s">
        <v>34</v>
      </c>
      <c r="F2" s="43" t="s">
        <v>35</v>
      </c>
      <c r="G2" s="44">
        <v>402.0</v>
      </c>
      <c r="H2" s="23" t="s">
        <v>23</v>
      </c>
      <c r="I2" s="45"/>
      <c r="J2" s="46">
        <v>0.1</v>
      </c>
      <c r="K2" s="47">
        <f t="shared" ref="K2:K7" si="1">C2*J2</f>
        <v>1.4</v>
      </c>
      <c r="L2" s="48" t="s">
        <v>24</v>
      </c>
      <c r="M2" s="17"/>
      <c r="N2" s="17"/>
      <c r="O2" s="17"/>
      <c r="P2" s="17"/>
      <c r="Q2" s="17"/>
      <c r="R2" s="17"/>
      <c r="S2" s="17"/>
      <c r="T2" s="17"/>
    </row>
    <row r="3">
      <c r="A3" s="38">
        <v>7.0</v>
      </c>
      <c r="B3" s="39" t="s">
        <v>153</v>
      </c>
      <c r="C3" s="49">
        <v>7.0</v>
      </c>
      <c r="D3" s="41" t="s">
        <v>30</v>
      </c>
      <c r="E3" s="42" t="s">
        <v>40</v>
      </c>
      <c r="F3" s="50" t="s">
        <v>154</v>
      </c>
      <c r="G3" s="44">
        <v>402.0</v>
      </c>
      <c r="H3" s="23" t="s">
        <v>23</v>
      </c>
      <c r="I3" s="45"/>
      <c r="J3" s="51">
        <v>0.1</v>
      </c>
      <c r="K3" s="52">
        <f t="shared" si="1"/>
        <v>0.7</v>
      </c>
      <c r="L3" s="48" t="s">
        <v>24</v>
      </c>
    </row>
    <row r="4">
      <c r="A4" s="38">
        <v>9.0</v>
      </c>
      <c r="B4" s="39" t="s">
        <v>155</v>
      </c>
      <c r="C4" s="40">
        <v>3.0</v>
      </c>
      <c r="D4" s="53" t="s">
        <v>43</v>
      </c>
      <c r="E4" s="54" t="s">
        <v>156</v>
      </c>
      <c r="F4" s="50" t="s">
        <v>157</v>
      </c>
      <c r="G4" s="44">
        <v>805.0</v>
      </c>
      <c r="H4" s="23" t="s">
        <v>23</v>
      </c>
      <c r="I4" s="45"/>
      <c r="J4" s="51">
        <v>0.3</v>
      </c>
      <c r="K4" s="52">
        <f t="shared" si="1"/>
        <v>0.9</v>
      </c>
      <c r="L4" s="55" t="s">
        <v>24</v>
      </c>
    </row>
    <row r="5">
      <c r="A5" s="38">
        <v>10.0</v>
      </c>
      <c r="B5" s="56" t="s">
        <v>49</v>
      </c>
      <c r="C5" s="57">
        <v>1.0</v>
      </c>
      <c r="D5" s="53" t="s">
        <v>100</v>
      </c>
      <c r="E5" s="54" t="s">
        <v>158</v>
      </c>
      <c r="F5" s="50" t="s">
        <v>159</v>
      </c>
      <c r="G5" s="44">
        <v>402.0</v>
      </c>
      <c r="H5" s="23" t="s">
        <v>23</v>
      </c>
      <c r="I5" s="58"/>
      <c r="J5" s="51">
        <v>0.08</v>
      </c>
      <c r="K5" s="52">
        <f t="shared" si="1"/>
        <v>0.08</v>
      </c>
      <c r="L5" s="48" t="s">
        <v>24</v>
      </c>
    </row>
    <row r="6">
      <c r="A6" s="38">
        <v>13.0</v>
      </c>
      <c r="B6" s="56" t="s">
        <v>160</v>
      </c>
      <c r="C6" s="49">
        <v>2.0</v>
      </c>
      <c r="D6" s="53" t="s">
        <v>161</v>
      </c>
      <c r="E6" s="59" t="s">
        <v>162</v>
      </c>
      <c r="F6" s="50" t="s">
        <v>63</v>
      </c>
      <c r="G6" s="60" t="s">
        <v>64</v>
      </c>
      <c r="H6" s="27" t="s">
        <v>23</v>
      </c>
      <c r="I6" s="45"/>
      <c r="J6" s="51">
        <v>0.15</v>
      </c>
      <c r="K6" s="52">
        <f t="shared" si="1"/>
        <v>0.3</v>
      </c>
      <c r="L6" s="55" t="s">
        <v>24</v>
      </c>
    </row>
    <row r="7" ht="14.25" customHeight="1">
      <c r="A7" s="38">
        <v>22.0</v>
      </c>
      <c r="B7" s="39" t="s">
        <v>163</v>
      </c>
      <c r="C7" s="49">
        <v>8.0</v>
      </c>
      <c r="D7" s="61" t="s">
        <v>96</v>
      </c>
      <c r="E7" s="62" t="s">
        <v>164</v>
      </c>
      <c r="F7" s="44" t="s">
        <v>94</v>
      </c>
      <c r="G7" s="44">
        <v>402.0</v>
      </c>
      <c r="H7" s="27" t="s">
        <v>23</v>
      </c>
      <c r="I7" s="45"/>
      <c r="J7" s="47">
        <v>0.1</v>
      </c>
      <c r="K7" s="47">
        <f t="shared" si="1"/>
        <v>0.8</v>
      </c>
      <c r="L7" s="48" t="s">
        <v>24</v>
      </c>
    </row>
    <row r="8">
      <c r="A8" s="38">
        <v>37.0</v>
      </c>
      <c r="B8" s="63" t="s">
        <v>165</v>
      </c>
      <c r="C8" s="49">
        <v>2.0</v>
      </c>
      <c r="D8" s="41" t="s">
        <v>147</v>
      </c>
      <c r="E8" s="42" t="s">
        <v>148</v>
      </c>
      <c r="F8" s="44" t="s">
        <v>149</v>
      </c>
      <c r="G8" s="42" t="s">
        <v>150</v>
      </c>
      <c r="H8" s="64" t="s">
        <v>23</v>
      </c>
      <c r="I8" s="44"/>
      <c r="J8" s="65">
        <v>0.29</v>
      </c>
      <c r="K8" s="65">
        <f t="shared" ref="K8:K11" si="2">J8*C8</f>
        <v>0.58</v>
      </c>
      <c r="L8" s="66" t="s">
        <v>17</v>
      </c>
    </row>
    <row r="9">
      <c r="A9" s="67">
        <v>38.0</v>
      </c>
      <c r="B9" s="68" t="s">
        <v>166</v>
      </c>
      <c r="C9" s="49">
        <v>1.0</v>
      </c>
      <c r="D9" s="53" t="s">
        <v>167</v>
      </c>
      <c r="E9" s="54" t="s">
        <v>168</v>
      </c>
      <c r="F9" s="59" t="s">
        <v>169</v>
      </c>
      <c r="G9" s="42"/>
      <c r="H9" s="64" t="s">
        <v>72</v>
      </c>
      <c r="I9" s="44"/>
      <c r="J9" s="69">
        <v>1.68</v>
      </c>
      <c r="K9" s="70">
        <f t="shared" si="2"/>
        <v>1.68</v>
      </c>
      <c r="L9" s="66" t="s">
        <v>17</v>
      </c>
    </row>
    <row r="10">
      <c r="A10" s="67">
        <v>39.0</v>
      </c>
      <c r="B10" s="68" t="s">
        <v>170</v>
      </c>
      <c r="C10" s="49">
        <v>2.0</v>
      </c>
      <c r="D10" s="71" t="s">
        <v>43</v>
      </c>
      <c r="E10" s="72" t="s">
        <v>171</v>
      </c>
      <c r="F10" s="59" t="s">
        <v>172</v>
      </c>
      <c r="G10" s="73">
        <v>402.0</v>
      </c>
      <c r="H10" s="64" t="s">
        <v>23</v>
      </c>
      <c r="I10" s="44"/>
      <c r="J10" s="69">
        <v>0.16</v>
      </c>
      <c r="K10" s="70">
        <f t="shared" si="2"/>
        <v>0.32</v>
      </c>
      <c r="L10" s="66" t="s">
        <v>17</v>
      </c>
    </row>
    <row r="11">
      <c r="A11" s="74">
        <v>40.0</v>
      </c>
      <c r="B11" s="75" t="s">
        <v>173</v>
      </c>
      <c r="C11" s="76">
        <v>1.0</v>
      </c>
      <c r="D11" s="77" t="s">
        <v>43</v>
      </c>
      <c r="E11" s="78" t="s">
        <v>174</v>
      </c>
      <c r="F11" s="79" t="s">
        <v>175</v>
      </c>
      <c r="G11" s="73">
        <v>402.0</v>
      </c>
      <c r="H11" s="80" t="s">
        <v>23</v>
      </c>
      <c r="I11" s="81"/>
      <c r="J11" s="82">
        <v>0.1</v>
      </c>
      <c r="K11" s="70">
        <f t="shared" si="2"/>
        <v>0.1</v>
      </c>
      <c r="L11" s="83" t="s">
        <v>17</v>
      </c>
    </row>
  </sheetData>
  <dataValidations>
    <dataValidation type="list" allowBlank="1" showDropDown="1" showErrorMessage="1" sqref="H2:H11">
      <formula1>"Surface Mount ,Surface Mount,Exposed Copper,Through hole"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</hyperlinks>
  <drawing r:id="rId11"/>
  <tableParts count="3">
    <tablePart r:id="rId15"/>
    <tablePart r:id="rId16"/>
    <tablePart r:id="rId1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2019-11-08T16:14:43Z</dcterms:created>
  <dc:creator>James Tandon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